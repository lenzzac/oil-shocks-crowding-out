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OneDrive_zacharylenz08\OneDrive\Desktop\Income Theory\essay\data\"/>
    </mc:Choice>
  </mc:AlternateContent>
  <xr:revisionPtr revIDLastSave="0" documentId="13_ncr:1_{7CAD80DB-87AB-4B09-AF35-DE7F9C0B7BC3}" xr6:coauthVersionLast="47" xr6:coauthVersionMax="47" xr10:uidLastSave="{00000000-0000-0000-0000-000000000000}"/>
  <bookViews>
    <workbookView xWindow="38280" yWindow="-3600" windowWidth="16440" windowHeight="29040" tabRatio="500" firstSheet="1" activeTab="1" xr2:uid="{00000000-000D-0000-FFFF-FFFF00000000}"/>
  </bookViews>
  <sheets>
    <sheet name="README" sheetId="1" r:id="rId1"/>
    <sheet name="US_Annual" sheetId="2" r:id="rId2"/>
    <sheet name="Monthly_Markets" sheetId="3" r:id="rId3"/>
    <sheet name="Cross_Country" sheetId="4" r:id="rId4"/>
    <sheet name="Correlations" sheetId="5" r:id="rId5"/>
    <sheet name="Hypothesis_Tests" sheetId="6" r:id="rId6"/>
    <sheet name="Oil_Shock_Episod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J29" i="2"/>
  <c r="I29" i="2"/>
  <c r="H29" i="2"/>
  <c r="G29" i="2"/>
  <c r="F29" i="2"/>
  <c r="E29" i="2"/>
  <c r="D29" i="2"/>
  <c r="C29" i="2"/>
  <c r="B29" i="2"/>
  <c r="K28" i="2"/>
  <c r="J28" i="2"/>
  <c r="I28" i="2"/>
  <c r="H28" i="2"/>
  <c r="G28" i="2"/>
  <c r="F28" i="2"/>
  <c r="E28" i="2"/>
  <c r="D28" i="2"/>
  <c r="C28" i="2"/>
  <c r="B28" i="2"/>
</calcChain>
</file>

<file path=xl/sharedStrings.xml><?xml version="1.0" encoding="utf-8"?>
<sst xmlns="http://schemas.openxmlformats.org/spreadsheetml/2006/main" count="974" uniqueCount="633">
  <si>
    <t>Sheet</t>
  </si>
  <si>
    <t>Description</t>
  </si>
  <si>
    <t>Sample / Frequency</t>
  </si>
  <si>
    <t>Source</t>
  </si>
  <si>
    <t>US_Annual</t>
  </si>
  <si>
    <t>U.S. macro time-series: oil, inflation, debt/GDP, gross capital formation, interest rates, GDP growth</t>
  </si>
  <si>
    <t>Annual 2000–2024</t>
  </si>
  <si>
    <t>World Bank API + Yahoo Finance (annualized)</t>
  </si>
  <si>
    <t>Monthly_Markets</t>
  </si>
  <si>
    <t>Monthly averages of WTI oil, S&amp;P 500, 10Y Treasury, Brent oil</t>
  </si>
  <si>
    <t>Monthly 2000–2026</t>
  </si>
  <si>
    <t>Yahoo Finance (CL=F, ^GSPC, ^TNX, BZ=F)</t>
  </si>
  <si>
    <t>Cross_Country</t>
  </si>
  <si>
    <t>Cross-country snapshot: GDP, growth, interest, inflation, debt/GDP, current account</t>
  </si>
  <si>
    <t>n=173 countries</t>
  </si>
  <si>
    <t>World Economics dataset (project file)</t>
  </si>
  <si>
    <t>Correlations</t>
  </si>
  <si>
    <t>Pearson correlation matrices for U.S. annual and cross-country panels</t>
  </si>
  <si>
    <t>—</t>
  </si>
  <si>
    <t>Calculated</t>
  </si>
  <si>
    <t>Hypothesis_Tests</t>
  </si>
  <si>
    <t>Tests of AS-AD, IS-LM, and crowding-out predictions</t>
  </si>
  <si>
    <t>6 tests</t>
  </si>
  <si>
    <t>Oil_Shock_Episodes</t>
  </si>
  <si>
    <t>Identified shock episodes with peak prices and market response</t>
  </si>
  <si>
    <t>4 episodes</t>
  </si>
  <si>
    <t>Calculated from Monthly_Markets</t>
  </si>
  <si>
    <t>Year</t>
  </si>
  <si>
    <t>WTI Oil ($/bbl)</t>
  </si>
  <si>
    <t>WTI YoY (%)</t>
  </si>
  <si>
    <t>CPI Inflation (%)</t>
  </si>
  <si>
    <t>10Y Treasury (%)</t>
  </si>
  <si>
    <t>S&amp;P 500</t>
  </si>
  <si>
    <t>S&amp;P YoY (%)</t>
  </si>
  <si>
    <t>Debt/GDP (%)</t>
  </si>
  <si>
    <t>Investment/GDP (%)</t>
  </si>
  <si>
    <t>GDP Growth (%)</t>
  </si>
  <si>
    <t>Gov Expense/GDP (%)</t>
  </si>
  <si>
    <t>Mean</t>
  </si>
  <si>
    <t>Std Dev</t>
  </si>
  <si>
    <t>Date</t>
  </si>
  <si>
    <t>Brent Oil ($/bbl)</t>
  </si>
  <si>
    <t>10Y YoY (bp)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</si>
  <si>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</si>
  <si>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</si>
  <si>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</si>
  <si>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</si>
  <si>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</si>
  <si>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</si>
  <si>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</si>
  <si>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</si>
  <si>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</si>
  <si>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</si>
  <si>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</si>
  <si>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</si>
  <si>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</si>
  <si>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</si>
  <si>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</si>
  <si>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</si>
  <si>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</si>
  <si>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</si>
  <si>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</si>
  <si>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</si>
  <si>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</si>
  <si>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</si>
  <si>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</si>
  <si>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</si>
  <si>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</si>
  <si>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</si>
  <si>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</si>
  <si>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</si>
  <si>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</si>
  <si>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</si>
  <si>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</si>
  <si>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</si>
  <si>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</si>
  <si>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</si>
  <si>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</si>
  <si>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</si>
  <si>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</si>
  <si>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</si>
  <si>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</si>
  <si>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</si>
  <si>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</si>
  <si>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</si>
  <si>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</si>
  <si>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</si>
  <si>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</si>
  <si>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</si>
  <si>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</si>
  <si>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</si>
  <si>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</si>
  <si>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</si>
  <si>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</si>
  <si>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</si>
  <si>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</si>
  <si>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</si>
  <si>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</si>
  <si>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</si>
  <si>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</si>
  <si>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</si>
  <si>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</si>
  <si>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</si>
  <si>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</si>
  <si>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</si>
  <si>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</si>
  <si>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</si>
  <si>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</si>
  <si>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</si>
  <si>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</si>
  <si>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</si>
  <si>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</si>
  <si>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</si>
  <si>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</si>
  <si>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</si>
  <si>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</si>
  <si>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</si>
  <si>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</si>
  <si>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</si>
  <si>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</si>
  <si>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</si>
  <si>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</si>
  <si>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</si>
  <si>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</si>
  <si>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</si>
  <si>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</si>
  <si>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</si>
  <si>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</si>
  <si>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</si>
  <si>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</si>
  <si>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</si>
  <si>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</si>
  <si>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</si>
  <si>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</si>
  <si>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</si>
  <si>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</si>
  <si>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</si>
  <si>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</si>
  <si>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</si>
  <si>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</si>
  <si>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</si>
  <si>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</si>
  <si>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</si>
  <si>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</si>
  <si>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</si>
  <si>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</si>
  <si>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</si>
  <si>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</si>
  <si>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</si>
  <si>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</si>
  <si>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</si>
  <si>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</si>
  <si>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</si>
  <si>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</si>
  <si>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</si>
  <si>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</si>
  <si>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</si>
  <si>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</si>
  <si>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</si>
  <si>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</si>
  <si>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</si>
  <si>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</si>
  <si>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</si>
  <si>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</si>
  <si>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</si>
  <si>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</si>
  <si>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</si>
  <si>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</si>
  <si>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</si>
  <si>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</si>
  <si>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</si>
  <si>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</si>
  <si>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</si>
  <si>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</si>
  <si>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</si>
  <si>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</si>
  <si>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</si>
  <si>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</si>
  <si>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</si>
  <si>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</si>
  <si>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</si>
  <si>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</si>
  <si>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</si>
  <si>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</si>
  <si>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</si>
  <si>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</si>
  <si>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</si>
  <si>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</si>
  <si>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</si>
  <si>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</si>
  <si>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</si>
  <si>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</si>
  <si>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</si>
  <si>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</si>
  <si>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</si>
  <si>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</si>
  <si>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</si>
  <si>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</si>
  <si>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</si>
  <si>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</si>
  <si>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</si>
  <si>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</si>
  <si>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</si>
  <si>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</si>
  <si>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</si>
  <si>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</si>
  <si>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</si>
  <si>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</si>
  <si>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</si>
  <si>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</si>
  <si>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</si>
  <si>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</si>
  <si>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</si>
  <si>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</si>
  <si>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</si>
  <si>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</si>
  <si>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</si>
  <si>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</si>
  <si>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</si>
  <si>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</si>
  <si>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</si>
  <si>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</si>
  <si>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</si>
  <si>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</si>
  <si>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</si>
  <si>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</si>
  <si>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</si>
  <si>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</si>
  <si>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</si>
  <si>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</si>
  <si>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</si>
  <si>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</si>
  <si>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</si>
  <si>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</si>
  <si>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</si>
  <si>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</si>
  <si>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</si>
  <si>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</si>
  <si>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</si>
  <si>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</si>
  <si>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</si>
  <si>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</si>
  <si>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</si>
  <si>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</si>
  <si>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</si>
  <si>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</si>
  <si>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</si>
  <si>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</si>
  <si>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</si>
  <si>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</si>
  <si>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</si>
  <si>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</si>
  <si>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</si>
  <si>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</si>
  <si>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</si>
  <si>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</si>
  <si>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</si>
  <si>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</si>
  <si>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</si>
  <si>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</si>
  <si>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</si>
  <si>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</si>
  <si>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</si>
  <si>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</si>
  <si>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</si>
  <si>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</si>
  <si>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</si>
  <si>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</si>
  <si>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</si>
  <si>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</si>
  <si>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</si>
  <si>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</si>
  <si>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</si>
  <si>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</si>
  <si>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</si>
  <si>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</si>
  <si>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</si>
  <si>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</si>
  <si>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</si>
  <si>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</si>
  <si>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</si>
  <si>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</si>
  <si>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</si>
  <si>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</si>
  <si>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</si>
  <si>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</si>
  <si>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</si>
  <si>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</si>
  <si>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</si>
  <si>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</si>
  <si>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</si>
  <si>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</si>
  <si>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</si>
  <si>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</si>
  <si>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</si>
  <si>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</si>
  <si>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</si>
  <si>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</si>
  <si>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</si>
  <si>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</si>
  <si>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</si>
  <si>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</si>
  <si>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</si>
  <si>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</si>
  <si>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</si>
  <si>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</si>
  <si>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</si>
  <si>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</si>
  <si>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</si>
  <si>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</si>
  <si>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</si>
  <si>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</si>
  <si>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</si>
  <si>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</si>
  <si>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</si>
  <si>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</si>
  <si>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</si>
  <si>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</si>
  <si>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</si>
  <si>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</si>
  <si>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</si>
  <si>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</si>
  <si>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</si>
  <si>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</si>
  <si>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</si>
  <si>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</si>
  <si>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</si>
  <si>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</si>
  <si>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</si>
  <si>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</si>
  <si>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</si>
  <si>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</si>
  <si>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</si>
  <si>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</si>
  <si>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</si>
  <si>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</si>
  <si>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</si>
  <si>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</si>
  <si>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</si>
  <si>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</si>
  <si>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</si>
  <si>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</si>
  <si>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</si>
  <si>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</si>
  <si>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</si>
  <si>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</si>
  <si>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</si>
  <si>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</si>
  <si>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</si>
  <si>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</si>
  <si>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</si>
  <si>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</si>
  <si>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</si>
  <si>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Country</t>
  </si>
  <si>
    <t>Region</t>
  </si>
  <si>
    <t>Subregion</t>
  </si>
  <si>
    <t>GDP ($B)</t>
  </si>
  <si>
    <t>Interest Rate (%)</t>
  </si>
  <si>
    <t>Inflation (%)</t>
  </si>
  <si>
    <t>Unemployment (%)</t>
  </si>
  <si>
    <t>Gov Budget (%GDP)</t>
  </si>
  <si>
    <t>Current Account (%GDP)</t>
  </si>
  <si>
    <t>Population (M)</t>
  </si>
  <si>
    <t>Tunisia</t>
  </si>
  <si>
    <t>Africa</t>
  </si>
  <si>
    <t>Northern Africa</t>
  </si>
  <si>
    <t>Vietnam</t>
  </si>
  <si>
    <t>Asia</t>
  </si>
  <si>
    <t>South-Eastern Asia</t>
  </si>
  <si>
    <t>Ecuador</t>
  </si>
  <si>
    <t>Americas</t>
  </si>
  <si>
    <t>South America</t>
  </si>
  <si>
    <t>Puerto Rico</t>
  </si>
  <si>
    <t>Caribbean</t>
  </si>
  <si>
    <t>United States</t>
  </si>
  <si>
    <t>North America</t>
  </si>
  <si>
    <t>Israel</t>
  </si>
  <si>
    <t>Western Asia</t>
  </si>
  <si>
    <t>United Kingdom</t>
  </si>
  <si>
    <t>Europe</t>
  </si>
  <si>
    <t>Northern Europe</t>
  </si>
  <si>
    <t>Myanmar</t>
  </si>
  <si>
    <t>Poland</t>
  </si>
  <si>
    <t>Central Europe</t>
  </si>
  <si>
    <t>Afghanistan</t>
  </si>
  <si>
    <t>Southern Asia</t>
  </si>
  <si>
    <t>Kenya</t>
  </si>
  <si>
    <t>Eastern Africa</t>
  </si>
  <si>
    <t>Angola</t>
  </si>
  <si>
    <t>Middle Africa</t>
  </si>
  <si>
    <t>Bhutan</t>
  </si>
  <si>
    <t>Malta</t>
  </si>
  <si>
    <t>Southern Europe</t>
  </si>
  <si>
    <t>Russia</t>
  </si>
  <si>
    <t>Eastern Europe</t>
  </si>
  <si>
    <t>Nepal</t>
  </si>
  <si>
    <t>Iraq</t>
  </si>
  <si>
    <t>Sudan</t>
  </si>
  <si>
    <t>Djibouti</t>
  </si>
  <si>
    <t>Mozambique</t>
  </si>
  <si>
    <t>South Africa</t>
  </si>
  <si>
    <t>Southern Africa</t>
  </si>
  <si>
    <t>Liechtenstein</t>
  </si>
  <si>
    <t>Western Europe</t>
  </si>
  <si>
    <t>Burundi</t>
  </si>
  <si>
    <t>Rwanda</t>
  </si>
  <si>
    <t>Belgium</t>
  </si>
  <si>
    <t>Jordan</t>
  </si>
  <si>
    <t>Equatorial Guinea</t>
  </si>
  <si>
    <t>Spain</t>
  </si>
  <si>
    <t>Kyrgyzstan</t>
  </si>
  <si>
    <t>Central Asia</t>
  </si>
  <si>
    <t>Mauritania</t>
  </si>
  <si>
    <t>Western Africa</t>
  </si>
  <si>
    <t>Malawi</t>
  </si>
  <si>
    <t>Panama</t>
  </si>
  <si>
    <t>Central America</t>
  </si>
  <si>
    <t>Thailand</t>
  </si>
  <si>
    <t>Turkey</t>
  </si>
  <si>
    <t>Philippines</t>
  </si>
  <si>
    <t>Slovenia</t>
  </si>
  <si>
    <t>United Arab Emirates</t>
  </si>
  <si>
    <t>Georgia</t>
  </si>
  <si>
    <t>Greece</t>
  </si>
  <si>
    <t>Armenia</t>
  </si>
  <si>
    <t>Costa Rica</t>
  </si>
  <si>
    <t>Tanzania</t>
  </si>
  <si>
    <t>South Sudan</t>
  </si>
  <si>
    <t>Iran</t>
  </si>
  <si>
    <t>Mongolia</t>
  </si>
  <si>
    <t>Eastern Asia</t>
  </si>
  <si>
    <t>Moldova</t>
  </si>
  <si>
    <t>New Zealand</t>
  </si>
  <si>
    <t>Oceania</t>
  </si>
  <si>
    <t>Australia and New Zealand</t>
  </si>
  <si>
    <t>Somalia</t>
  </si>
  <si>
    <t>Guyana</t>
  </si>
  <si>
    <t>India</t>
  </si>
  <si>
    <t>Niger</t>
  </si>
  <si>
    <t>Republic of the Congo</t>
  </si>
  <si>
    <t>South Korea</t>
  </si>
  <si>
    <t>Ivory Coast</t>
  </si>
  <si>
    <t>Maldives</t>
  </si>
  <si>
    <t>Serbia</t>
  </si>
  <si>
    <t>Southeast Europe</t>
  </si>
  <si>
    <t>Mali</t>
  </si>
  <si>
    <t>Algeria</t>
  </si>
  <si>
    <t>Laos</t>
  </si>
  <si>
    <t>Cameroon</t>
  </si>
  <si>
    <t>Finland</t>
  </si>
  <si>
    <t>Zimbabwe</t>
  </si>
  <si>
    <t>Bolivia</t>
  </si>
  <si>
    <t>Lesotho</t>
  </si>
  <si>
    <t>Hungary</t>
  </si>
  <si>
    <t>Turkmenistan</t>
  </si>
  <si>
    <t>Norway</t>
  </si>
  <si>
    <t>Peru</t>
  </si>
  <si>
    <t>Cuba</t>
  </si>
  <si>
    <t>Lithuania</t>
  </si>
  <si>
    <t>Mauritius</t>
  </si>
  <si>
    <t>Saudi Arabia</t>
  </si>
  <si>
    <t>Benin</t>
  </si>
  <si>
    <t>Slovakia</t>
  </si>
  <si>
    <t>Cape Verde</t>
  </si>
  <si>
    <t>Uzbekistan</t>
  </si>
  <si>
    <t>Sweden</t>
  </si>
  <si>
    <t>Bangladesh</t>
  </si>
  <si>
    <t>Taiwan</t>
  </si>
  <si>
    <t>Italy</t>
  </si>
  <si>
    <t>Chad</t>
  </si>
  <si>
    <t>Syria</t>
  </si>
  <si>
    <t>Chile</t>
  </si>
  <si>
    <t>Senegal</t>
  </si>
  <si>
    <t>Burkina Faso</t>
  </si>
  <si>
    <t>Romania</t>
  </si>
  <si>
    <t>Brazil</t>
  </si>
  <si>
    <t>Estonia</t>
  </si>
  <si>
    <t>Togo</t>
  </si>
  <si>
    <t>Cambodia</t>
  </si>
  <si>
    <t>Dominican Republic</t>
  </si>
  <si>
    <t>Canada</t>
  </si>
  <si>
    <t>Paraguay</t>
  </si>
  <si>
    <t>Kazakhstan</t>
  </si>
  <si>
    <t>Indonesia</t>
  </si>
  <si>
    <t>Luxembourg</t>
  </si>
  <si>
    <t>Comoros</t>
  </si>
  <si>
    <t>Bulgaria</t>
  </si>
  <si>
    <t>Honduras</t>
  </si>
  <si>
    <t>Uruguay</t>
  </si>
  <si>
    <t>Ethiopia</t>
  </si>
  <si>
    <t>Tajikistan</t>
  </si>
  <si>
    <t>Botswana</t>
  </si>
  <si>
    <t>Albania</t>
  </si>
  <si>
    <t>Nigeria</t>
  </si>
  <si>
    <t>Gambia</t>
  </si>
  <si>
    <t>Cyprus</t>
  </si>
  <si>
    <t>Portugal</t>
  </si>
  <si>
    <t>China</t>
  </si>
  <si>
    <t>Singapore</t>
  </si>
  <si>
    <t>Denmark</t>
  </si>
  <si>
    <t>Ghana</t>
  </si>
  <si>
    <t>Liberia</t>
  </si>
  <si>
    <t>Hong Kong</t>
  </si>
  <si>
    <t>Guatemala</t>
  </si>
  <si>
    <t>Sierra Leone</t>
  </si>
  <si>
    <t>Monaco</t>
  </si>
  <si>
    <t>Lebanon</t>
  </si>
  <si>
    <t>Seychelles</t>
  </si>
  <si>
    <t>Zambia</t>
  </si>
  <si>
    <t>Venezuela</t>
  </si>
  <si>
    <t>Suriname</t>
  </si>
  <si>
    <t>Ukraine</t>
  </si>
  <si>
    <t>Latvia</t>
  </si>
  <si>
    <t>Germany</t>
  </si>
  <si>
    <t>Eritrea</t>
  </si>
  <si>
    <t>Croatia</t>
  </si>
  <si>
    <t>Papua New Guinea</t>
  </si>
  <si>
    <t>Melanesia</t>
  </si>
  <si>
    <t>Bosnia and Herzegovina</t>
  </si>
  <si>
    <t>Montenegro</t>
  </si>
  <si>
    <t>Libya</t>
  </si>
  <si>
    <t>Qatar</t>
  </si>
  <si>
    <t>Pakistan</t>
  </si>
  <si>
    <t>Guinea</t>
  </si>
  <si>
    <t>Brunei</t>
  </si>
  <si>
    <t>Madagascar</t>
  </si>
  <si>
    <t>Azerbaijan</t>
  </si>
  <si>
    <t>Palestine</t>
  </si>
  <si>
    <t>Central African Republic</t>
  </si>
  <si>
    <t>Bahrain</t>
  </si>
  <si>
    <t>Austria</t>
  </si>
  <si>
    <t>France</t>
  </si>
  <si>
    <t>El Salvador</t>
  </si>
  <si>
    <t>Namibia</t>
  </si>
  <si>
    <t>Australia</t>
  </si>
  <si>
    <t>Morocco</t>
  </si>
  <si>
    <t>Ireland</t>
  </si>
  <si>
    <t>Nicaragua</t>
  </si>
  <si>
    <t>Bahamas</t>
  </si>
  <si>
    <t>Oman</t>
  </si>
  <si>
    <t>Switzerland</t>
  </si>
  <si>
    <t>Iceland</t>
  </si>
  <si>
    <t>Japan</t>
  </si>
  <si>
    <t>Netherlands</t>
  </si>
  <si>
    <t>Belarus</t>
  </si>
  <si>
    <t>Uganda</t>
  </si>
  <si>
    <t>Yemen</t>
  </si>
  <si>
    <t>Haiti</t>
  </si>
  <si>
    <t>Argentina</t>
  </si>
  <si>
    <t>Egypt</t>
  </si>
  <si>
    <t>Kuwait</t>
  </si>
  <si>
    <t>Cayman Islands</t>
  </si>
  <si>
    <t>Gabon</t>
  </si>
  <si>
    <t>Sri Lanka</t>
  </si>
  <si>
    <t>Trinidad and Tobago</t>
  </si>
  <si>
    <t>Colombia</t>
  </si>
  <si>
    <t>Macau</t>
  </si>
  <si>
    <t>Mexico</t>
  </si>
  <si>
    <t>New Caledonia</t>
  </si>
  <si>
    <t>Kosovo</t>
  </si>
  <si>
    <t>Malaysia</t>
  </si>
  <si>
    <t>Fiji</t>
  </si>
  <si>
    <t>Jamaica</t>
  </si>
  <si>
    <t>Correlation Matrices</t>
  </si>
  <si>
    <t>A. U.S. Annual Time-Series (2000–2024, n=25)</t>
  </si>
  <si>
    <t>WTI YoY</t>
  </si>
  <si>
    <t>Inflation</t>
  </si>
  <si>
    <t>10Y Treas</t>
  </si>
  <si>
    <t>S&amp;P YoY</t>
  </si>
  <si>
    <t>Debt/GDP</t>
  </si>
  <si>
    <t>Invest/GDP</t>
  </si>
  <si>
    <t>GDP Growth</t>
  </si>
  <si>
    <t>B. Cross-Country Snapshot (n=101, winsorized 2.5/97.5%)</t>
  </si>
  <si>
    <t>Interest Rate</t>
  </si>
  <si>
    <t>Inflation Rate</t>
  </si>
  <si>
    <t>Current Account</t>
  </si>
  <si>
    <t>Hypothesis Test Results</t>
  </si>
  <si>
    <t>#</t>
  </si>
  <si>
    <t>Hypothesis</t>
  </si>
  <si>
    <t>Model</t>
  </si>
  <si>
    <t>Correlation</t>
  </si>
  <si>
    <t>Interpretation</t>
  </si>
  <si>
    <t>H1</t>
  </si>
  <si>
    <t>Oil price ↑ → Inflation ↑</t>
  </si>
  <si>
    <t>AS-AD (adverse supply shock)</t>
  </si>
  <si>
    <t>Strongly confirmed. AS curve shifts left as energy costs rise.</t>
  </si>
  <si>
    <t>H2</t>
  </si>
  <si>
    <t>Inflation ↑ → 10Y Treasury ↑</t>
  </si>
  <si>
    <t>IS-LM / Fisher effect</t>
  </si>
  <si>
    <t>Weak. Long rates incorporate inflation expectations but Fed asset purchases dampen the link.</t>
  </si>
  <si>
    <t>H3</t>
  </si>
  <si>
    <t>Debt/GDP ↑ → Investment/GDP ↓</t>
  </si>
  <si>
    <t>Loanable funds / crowding out</t>
  </si>
  <si>
    <t>Moderate. Higher public debt is associated with lower private investment share.</t>
  </si>
  <si>
    <t>H4</t>
  </si>
  <si>
    <t>Debt/GDP ↑ → 10Y Treasury ↑</t>
  </si>
  <si>
    <t>Crowding-out mechanism</t>
  </si>
  <si>
    <t>REVERSED. Cyclical Fed policy dominates loanable funds effect in U.S. data.</t>
  </si>
  <si>
    <t>H5</t>
  </si>
  <si>
    <t>Oil shock (monthly) ↔ S&amp;P 500 YoY</t>
  </si>
  <si>
    <t>IS-LM transmission</t>
  </si>
  <si>
    <t>Positive contemporaneous; correlation turns NEGATIVE at 12-month lag (r=-0.35).</t>
  </si>
  <si>
    <t>H6</t>
  </si>
  <si>
    <t>Cross-country: Debt/GDP ↑ → Growth ↓</t>
  </si>
  <si>
    <t>Crowding out (long-run)</t>
  </si>
  <si>
    <t>Modest negative. Real channel for crowding out appears to be growth, not rates.</t>
  </si>
  <si>
    <t>Identified Oil Shock Episodes &amp; Market Response</t>
  </si>
  <si>
    <t>Episode</t>
  </si>
  <si>
    <t>Start</t>
  </si>
  <si>
    <t>Peak</t>
  </si>
  <si>
    <t>Catalyst</t>
  </si>
  <si>
    <t>Pre-shock WTI ($)</t>
  </si>
  <si>
    <t>Peak WTI ($)</t>
  </si>
  <si>
    <t>Peak Δ (%)</t>
  </si>
  <si>
    <t>12-mo S&amp;P forward (%)</t>
  </si>
  <si>
    <t>2007-2008</t>
  </si>
  <si>
    <t>2007-01</t>
  </si>
  <si>
    <t>2008-07</t>
  </si>
  <si>
    <t>Pre-GFC supply tightness</t>
  </si>
  <si>
    <t>2011</t>
  </si>
  <si>
    <t>2010-09</t>
  </si>
  <si>
    <t>2011-04</t>
  </si>
  <si>
    <t>Arab Spring</t>
  </si>
  <si>
    <t>2021-2022</t>
  </si>
  <si>
    <t>2021-11</t>
  </si>
  <si>
    <t>2022-06</t>
  </si>
  <si>
    <t>Russia–Ukraine invasion</t>
  </si>
  <si>
    <t>2025-2026</t>
  </si>
  <si>
    <t>2025-09</t>
  </si>
  <si>
    <t>2026-04</t>
  </si>
  <si>
    <t>Current shock (Iran/Mideast)</t>
  </si>
  <si>
    <t>N/A (current)</t>
  </si>
  <si>
    <t>Oil Shocks, Interest Rates, and Crowding Out: Data &amp;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</si>
</sst>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;[Red]\(0.000\);\-"/>
    <numFmt numFmtId="166" formatCode="\+0.000;[Red]\-0.000"/>
    <numFmt numFmtId="167" formatCode="\+0.0;[Red]\-0.0"/>
  </numFmts>
  <fonts count="13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b/>
      <sz val="11"/>
      <color rgb="FFFFFFFF"/>
      <name val="Arial"/>
      <family val="2"/>
    </font>
    <font>
      <b/>
      <sz val="10"/>
      <color rgb="FF1F3A5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9"/>
      <name val="Arial"/>
      <family val="2"/>
    </font>
    <font>
      <b/>
      <sz val="14"/>
      <color rgb="FF1F3A5F"/>
      <name val="Arial"/>
      <family val="2"/>
    </font>
    <font>
      <b/>
      <sz val="11"/>
      <color rgb="FF1F3A5F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sz val="10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1" fontId="5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/>
    </xf>
    <xf numFmtId="0" fontId="0" fillId="2" borderId="0" xfId="0" applyFill="1"/>
    <xf numFmtId="0" fontId="10" fillId="2" borderId="0" xfId="0" applyFont="1" applyFill="1" applyAlignment="1">
      <alignment horizontal="left" vertical="center"/>
    </xf>
    <xf numFmtId="165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 vertical="center"/>
    </xf>
    <xf numFmtId="0" fontId="0" fillId="0" borderId="0" xfId="0"/>
    <xf numFmtId="0" fontId="9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1A1A1A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B3" sqref="B3"/>
    </sheetView>
  </sheetViews>
  <sheetFormatPr defaultColWidth="8.7109375" defaultRowHeight="15" x14ac:dyDescent="0.25"/>
  <cols>
    <col min="1" max="1" width="22" customWidth="1"/>
    <col min="2" max="2" width="56" customWidth="1"/>
    <col min="3" max="3" width="22" customWidth="1"/>
    <col min="4" max="4" width="38" customWidth="1"/>
    <col min="5" max="5" width="10" customWidth="1"/>
  </cols>
  <sheetData>
    <row r="1" spans="1:5" ht="19.7" customHeight="1" x14ac:dyDescent="0.25">
      <c r="A1" s="30" t="s">
        <v>632</v>
      </c>
      <c r="B1" s="30"/>
      <c r="C1" s="30"/>
      <c r="D1" s="30"/>
      <c r="E1" s="30"/>
    </row>
    <row r="2" spans="1:5" ht="15" customHeight="1" x14ac:dyDescent="0.25">
      <c r="A2" s="30"/>
      <c r="B2" s="30"/>
      <c r="C2" s="30"/>
      <c r="D2" s="30"/>
      <c r="E2" s="30"/>
    </row>
    <row r="4" spans="1:5" ht="15" customHeight="1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5" ht="23.85" customHeight="1" x14ac:dyDescent="0.25">
      <c r="A5" s="2" t="s">
        <v>4</v>
      </c>
      <c r="B5" s="3" t="s">
        <v>5</v>
      </c>
      <c r="C5" s="3" t="s">
        <v>6</v>
      </c>
      <c r="D5" s="3" t="s">
        <v>7</v>
      </c>
    </row>
    <row r="6" spans="1:5" ht="15" customHeight="1" x14ac:dyDescent="0.25">
      <c r="A6" s="2" t="s">
        <v>8</v>
      </c>
      <c r="B6" s="3" t="s">
        <v>9</v>
      </c>
      <c r="C6" s="3" t="s">
        <v>10</v>
      </c>
      <c r="D6" s="3" t="s">
        <v>11</v>
      </c>
    </row>
    <row r="7" spans="1:5" ht="23.85" customHeight="1" x14ac:dyDescent="0.25">
      <c r="A7" s="2" t="s">
        <v>12</v>
      </c>
      <c r="B7" s="3" t="s">
        <v>13</v>
      </c>
      <c r="C7" s="3" t="s">
        <v>14</v>
      </c>
      <c r="D7" s="3" t="s">
        <v>15</v>
      </c>
    </row>
    <row r="8" spans="1:5" ht="23.85" customHeight="1" x14ac:dyDescent="0.25">
      <c r="A8" s="2" t="s">
        <v>16</v>
      </c>
      <c r="B8" s="3" t="s">
        <v>17</v>
      </c>
      <c r="C8" s="3" t="s">
        <v>18</v>
      </c>
      <c r="D8" s="3" t="s">
        <v>19</v>
      </c>
    </row>
    <row r="9" spans="1:5" ht="15" customHeight="1" x14ac:dyDescent="0.25">
      <c r="A9" s="2" t="s">
        <v>20</v>
      </c>
      <c r="B9" s="3" t="s">
        <v>21</v>
      </c>
      <c r="C9" s="3" t="s">
        <v>22</v>
      </c>
      <c r="D9" s="3" t="s">
        <v>19</v>
      </c>
    </row>
    <row r="10" spans="1:5" ht="15" customHeight="1" x14ac:dyDescent="0.25">
      <c r="A10" s="2" t="s">
        <v>23</v>
      </c>
      <c r="B10" s="3" t="s">
        <v>24</v>
      </c>
      <c r="C10" s="3" t="s">
        <v>25</v>
      </c>
      <c r="D10" s="3" t="s">
        <v>26</v>
      </c>
    </row>
    <row r="13" spans="1:5" ht="15" customHeight="1" x14ac:dyDescent="0.25"/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2" customWidth="1"/>
    <col min="2" max="2" width="17" customWidth="1"/>
    <col min="3" max="3" width="13" customWidth="1"/>
    <col min="4" max="4" width="19" customWidth="1"/>
    <col min="5" max="5" width="18" customWidth="1"/>
    <col min="6" max="6" width="12" customWidth="1"/>
    <col min="7" max="7" width="13" customWidth="1"/>
    <col min="8" max="8" width="14" customWidth="1"/>
    <col min="9" max="9" width="20" customWidth="1"/>
    <col min="10" max="10" width="16" customWidth="1"/>
    <col min="11" max="11" width="21" customWidth="1"/>
  </cols>
  <sheetData>
    <row r="1" spans="1:11" ht="26.85" customHeigh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ht="15" customHeight="1" x14ac:dyDescent="0.25">
      <c r="A2" s="4">
        <v>2000</v>
      </c>
      <c r="B2" s="5">
        <v>32.401879190717402</v>
      </c>
      <c r="C2" s="6"/>
      <c r="D2" s="6">
        <v>3.3768572714992899</v>
      </c>
      <c r="E2" s="6">
        <v>5.6548449223633401</v>
      </c>
      <c r="F2" s="5">
        <v>1409.9246911667101</v>
      </c>
      <c r="G2" s="6"/>
      <c r="H2" s="6">
        <v>33.2676548646821</v>
      </c>
      <c r="I2" s="6">
        <v>23.6783758995788</v>
      </c>
      <c r="J2" s="6">
        <v>4.0775857568280403</v>
      </c>
      <c r="K2" s="6">
        <v>17.926537141128801</v>
      </c>
    </row>
    <row r="3" spans="1:11" ht="15" customHeight="1" x14ac:dyDescent="0.25">
      <c r="A3" s="4">
        <v>2001</v>
      </c>
      <c r="B3" s="5">
        <v>25.921654607740798</v>
      </c>
      <c r="C3" s="6">
        <v>-19.999533190140301</v>
      </c>
      <c r="D3" s="6">
        <v>2.8261711188540701</v>
      </c>
      <c r="E3" s="6">
        <v>4.9949381721638701</v>
      </c>
      <c r="F3" s="5">
        <v>1192.07983089455</v>
      </c>
      <c r="G3" s="6">
        <v>-15.450815326305699</v>
      </c>
      <c r="H3" s="6">
        <v>52.628897743051702</v>
      </c>
      <c r="I3" s="6">
        <v>22.176720599355601</v>
      </c>
      <c r="J3" s="6">
        <v>0.955538348341605</v>
      </c>
      <c r="K3" s="6">
        <v>19.509762813513799</v>
      </c>
    </row>
    <row r="4" spans="1:11" ht="15" customHeight="1" x14ac:dyDescent="0.25">
      <c r="A4" s="4">
        <v>2002</v>
      </c>
      <c r="B4" s="5">
        <v>26.079502410318401</v>
      </c>
      <c r="C4" s="6">
        <v>0.608941847911604</v>
      </c>
      <c r="D4" s="6">
        <v>1.5860316265060099</v>
      </c>
      <c r="E4" s="6">
        <v>4.5889582450324999</v>
      </c>
      <c r="F4" s="5">
        <v>995.64200139191996</v>
      </c>
      <c r="G4" s="6">
        <v>-16.478580075901601</v>
      </c>
      <c r="H4" s="6">
        <v>54.047213386129698</v>
      </c>
      <c r="I4" s="6">
        <v>21.722650408822702</v>
      </c>
      <c r="J4" s="6">
        <v>1.7004473264372599</v>
      </c>
      <c r="K4" s="6">
        <v>20.0840096450444</v>
      </c>
    </row>
    <row r="5" spans="1:11" ht="15" customHeight="1" x14ac:dyDescent="0.25">
      <c r="A5" s="4">
        <v>2003</v>
      </c>
      <c r="B5" s="5">
        <v>31.039055269567399</v>
      </c>
      <c r="C5" s="6">
        <v>19.0170532444161</v>
      </c>
      <c r="D5" s="6">
        <v>2.2700949733611502</v>
      </c>
      <c r="E5" s="6">
        <v>3.99870938334454</v>
      </c>
      <c r="F5" s="5">
        <v>963.73702501150797</v>
      </c>
      <c r="G5" s="6">
        <v>-3.2044626819487498</v>
      </c>
      <c r="H5" s="6">
        <v>56.429282117990901</v>
      </c>
      <c r="I5" s="6">
        <v>21.745643115762199</v>
      </c>
      <c r="J5" s="6">
        <v>2.7956059632008099</v>
      </c>
      <c r="K5" s="6">
        <v>20.660632607655501</v>
      </c>
    </row>
    <row r="6" spans="1:11" ht="15" customHeight="1" x14ac:dyDescent="0.25">
      <c r="A6" s="4">
        <v>2004</v>
      </c>
      <c r="B6" s="5">
        <v>41.4034985495828</v>
      </c>
      <c r="C6" s="6">
        <v>33.391619654665497</v>
      </c>
      <c r="D6" s="6">
        <v>2.6772366930917202</v>
      </c>
      <c r="E6" s="6">
        <v>4.2601088598159702</v>
      </c>
      <c r="F6" s="5">
        <v>1130.5935343372801</v>
      </c>
      <c r="G6" s="6">
        <v>17.313489571885899</v>
      </c>
      <c r="H6" s="6">
        <v>56.832309086645601</v>
      </c>
      <c r="I6" s="6">
        <v>22.652150581141999</v>
      </c>
      <c r="J6" s="6">
        <v>3.8477716955692101</v>
      </c>
      <c r="K6" s="6">
        <v>20.448535596612899</v>
      </c>
    </row>
    <row r="7" spans="1:11" ht="15" customHeight="1" x14ac:dyDescent="0.25">
      <c r="A7" s="4">
        <v>2005</v>
      </c>
      <c r="B7" s="5">
        <v>56.556032788017902</v>
      </c>
      <c r="C7" s="6">
        <v>36.597231560732098</v>
      </c>
      <c r="D7" s="6">
        <v>3.3927468454955001</v>
      </c>
      <c r="E7" s="6">
        <v>4.2828722285602501</v>
      </c>
      <c r="F7" s="5">
        <v>1207.0596329084101</v>
      </c>
      <c r="G7" s="6">
        <v>6.7633589127104701</v>
      </c>
      <c r="H7" s="6">
        <v>56.692975470215302</v>
      </c>
      <c r="I7" s="6">
        <v>23.375714680670701</v>
      </c>
      <c r="J7" s="6">
        <v>3.4835499355560602</v>
      </c>
      <c r="K7" s="6">
        <v>20.745102977276101</v>
      </c>
    </row>
    <row r="8" spans="1:11" ht="15" customHeight="1" x14ac:dyDescent="0.25">
      <c r="A8" s="4">
        <v>2006</v>
      </c>
      <c r="B8" s="5">
        <v>66.232552052082397</v>
      </c>
      <c r="C8" s="6">
        <v>17.109614637104698</v>
      </c>
      <c r="D8" s="6">
        <v>3.2259441007040399</v>
      </c>
      <c r="E8" s="6">
        <v>4.7871965155405798</v>
      </c>
      <c r="F8" s="5">
        <v>1310.66739480662</v>
      </c>
      <c r="G8" s="6">
        <v>8.5834832905954208</v>
      </c>
      <c r="H8" s="6">
        <v>55.620633628688601</v>
      </c>
      <c r="I8" s="6">
        <v>23.537523322313501</v>
      </c>
      <c r="J8" s="6">
        <v>2.7845396365070099</v>
      </c>
      <c r="K8" s="6">
        <v>20.5951351231726</v>
      </c>
    </row>
    <row r="9" spans="1:11" ht="15" customHeight="1" x14ac:dyDescent="0.25">
      <c r="A9" s="4">
        <v>2007</v>
      </c>
      <c r="B9" s="5">
        <v>72.338736576191295</v>
      </c>
      <c r="C9" s="6">
        <v>9.2193103465306994</v>
      </c>
      <c r="D9" s="6">
        <v>2.8526724815013802</v>
      </c>
      <c r="E9" s="6">
        <v>4.6256458274750196</v>
      </c>
      <c r="F9" s="5">
        <v>1476.65665515759</v>
      </c>
      <c r="G9" s="6">
        <v>12.6644838353869</v>
      </c>
      <c r="H9" s="6">
        <v>55.814234867419998</v>
      </c>
      <c r="I9" s="6">
        <v>22.557577834240799</v>
      </c>
      <c r="J9" s="6">
        <v>2.0038582978494599</v>
      </c>
      <c r="K9" s="6">
        <v>20.8646452748144</v>
      </c>
    </row>
    <row r="10" spans="1:11" ht="15" customHeight="1" x14ac:dyDescent="0.25">
      <c r="A10" s="4">
        <v>2008</v>
      </c>
      <c r="B10" s="5">
        <v>99.648228986994894</v>
      </c>
      <c r="C10" s="6">
        <v>37.752238570049798</v>
      </c>
      <c r="D10" s="6">
        <v>3.8391002966509999</v>
      </c>
      <c r="E10" s="6">
        <v>3.6500499048947401</v>
      </c>
      <c r="F10" s="5">
        <v>1220.8951492358401</v>
      </c>
      <c r="G10" s="6">
        <v>-17.3203097028983</v>
      </c>
      <c r="H10" s="6">
        <v>63.971935660688303</v>
      </c>
      <c r="I10" s="6">
        <v>21.037494190691401</v>
      </c>
      <c r="J10" s="6">
        <v>0.113587249881704</v>
      </c>
      <c r="K10" s="6">
        <v>22.787626125322198</v>
      </c>
    </row>
    <row r="11" spans="1:11" ht="15" customHeight="1" x14ac:dyDescent="0.25">
      <c r="A11" s="4">
        <v>2009</v>
      </c>
      <c r="B11" s="5">
        <v>61.797740549105797</v>
      </c>
      <c r="C11" s="6">
        <v>-37.984105510624801</v>
      </c>
      <c r="D11" s="6">
        <v>-0.355546266299747</v>
      </c>
      <c r="E11" s="6">
        <v>3.2401490851925501</v>
      </c>
      <c r="F11" s="5">
        <v>946.73449591724102</v>
      </c>
      <c r="G11" s="6">
        <v>-22.4557082965066</v>
      </c>
      <c r="H11" s="6">
        <v>76.032191112425906</v>
      </c>
      <c r="I11" s="6">
        <v>17.768755781434699</v>
      </c>
      <c r="J11" s="6">
        <v>-2.5765002295836701</v>
      </c>
      <c r="K11" s="6">
        <v>25.576520183329102</v>
      </c>
    </row>
    <row r="12" spans="1:11" ht="15" customHeight="1" x14ac:dyDescent="0.25">
      <c r="A12" s="4">
        <v>2010</v>
      </c>
      <c r="B12" s="5">
        <v>79.530291613281193</v>
      </c>
      <c r="C12" s="6">
        <v>28.694497414650201</v>
      </c>
      <c r="D12" s="6">
        <v>1.6400434423899</v>
      </c>
      <c r="E12" s="6">
        <v>3.1982704388140601</v>
      </c>
      <c r="F12" s="5">
        <v>1139.3078900473099</v>
      </c>
      <c r="G12" s="6">
        <v>20.340802512270798</v>
      </c>
      <c r="H12" s="6">
        <v>85.154829408273898</v>
      </c>
      <c r="I12" s="6">
        <v>18.672221669846099</v>
      </c>
      <c r="J12" s="6">
        <v>2.6951925774444199</v>
      </c>
      <c r="K12" s="6">
        <v>26.054604717757002</v>
      </c>
    </row>
    <row r="13" spans="1:11" ht="15" customHeight="1" x14ac:dyDescent="0.25">
      <c r="A13" s="4">
        <v>2011</v>
      </c>
      <c r="B13" s="5">
        <v>95.120400068404606</v>
      </c>
      <c r="C13" s="6">
        <v>19.602730153349601</v>
      </c>
      <c r="D13" s="6">
        <v>3.1568415686220002</v>
      </c>
      <c r="E13" s="6">
        <v>2.77106357803568</v>
      </c>
      <c r="F13" s="5">
        <v>1268.8875031528401</v>
      </c>
      <c r="G13" s="6">
        <v>11.373537762487199</v>
      </c>
      <c r="H13" s="6">
        <v>89.734717743965106</v>
      </c>
      <c r="I13" s="6">
        <v>19.033543255297399</v>
      </c>
      <c r="J13" s="6">
        <v>1.56440685763506</v>
      </c>
      <c r="K13" s="6">
        <v>25.3457058278502</v>
      </c>
    </row>
    <row r="14" spans="1:11" ht="15" customHeight="1" x14ac:dyDescent="0.25">
      <c r="A14" s="4">
        <v>2012</v>
      </c>
      <c r="B14" s="5">
        <v>94.235820231599405</v>
      </c>
      <c r="C14" s="6">
        <v>-0.92995807016060805</v>
      </c>
      <c r="D14" s="6">
        <v>2.0693372652606699</v>
      </c>
      <c r="E14" s="6">
        <v>1.7866434290898601</v>
      </c>
      <c r="F14" s="5">
        <v>1379.56249849296</v>
      </c>
      <c r="G14" s="6">
        <v>8.7222070565851695</v>
      </c>
      <c r="H14" s="6">
        <v>93.8330014607143</v>
      </c>
      <c r="I14" s="6">
        <v>19.950723147015001</v>
      </c>
      <c r="J14" s="6">
        <v>2.2891133866984301</v>
      </c>
      <c r="K14" s="6">
        <v>23.9119007034258</v>
      </c>
    </row>
    <row r="15" spans="1:11" ht="15" customHeight="1" x14ac:dyDescent="0.25">
      <c r="A15" s="4">
        <v>2013</v>
      </c>
      <c r="B15" s="5">
        <v>97.968878585669003</v>
      </c>
      <c r="C15" s="6">
        <v>3.9614006063670302</v>
      </c>
      <c r="D15" s="6">
        <v>1.46483265562717</v>
      </c>
      <c r="E15" s="6">
        <v>2.3365500909614698</v>
      </c>
      <c r="F15" s="5">
        <v>1642.5115555720599</v>
      </c>
      <c r="G15" s="6">
        <v>19.0603221939093</v>
      </c>
      <c r="H15" s="6">
        <v>95.718483550416906</v>
      </c>
      <c r="I15" s="6">
        <v>20.4246273846192</v>
      </c>
      <c r="J15" s="6">
        <v>2.11783009790057</v>
      </c>
      <c r="K15" s="6">
        <v>22.932396845735902</v>
      </c>
    </row>
    <row r="16" spans="1:11" ht="15" customHeight="1" x14ac:dyDescent="0.25">
      <c r="A16" s="4">
        <v>2014</v>
      </c>
      <c r="B16" s="5">
        <v>92.996511386719902</v>
      </c>
      <c r="C16" s="6">
        <v>-5.0754558699995203</v>
      </c>
      <c r="D16" s="6">
        <v>1.62222297740817</v>
      </c>
      <c r="E16" s="6">
        <v>2.5314846504054498</v>
      </c>
      <c r="F16" s="5">
        <v>1930.6669773808701</v>
      </c>
      <c r="G16" s="6">
        <v>17.543585664969399</v>
      </c>
      <c r="H16" s="6">
        <v>95.949113271101396</v>
      </c>
      <c r="I16" s="6">
        <v>20.969620342418999</v>
      </c>
      <c r="J16" s="6">
        <v>2.5238198136396801</v>
      </c>
      <c r="K16" s="6">
        <v>22.684094066609799</v>
      </c>
    </row>
    <row r="17" spans="1:11" ht="15" customHeight="1" x14ac:dyDescent="0.25">
      <c r="A17" s="4">
        <v>2015</v>
      </c>
      <c r="B17" s="5">
        <v>48.796430286868997</v>
      </c>
      <c r="C17" s="6">
        <v>-47.528751821719197</v>
      </c>
      <c r="D17" s="6">
        <v>0.118627135552451</v>
      </c>
      <c r="E17" s="6">
        <v>2.1306671644531199</v>
      </c>
      <c r="F17" s="5">
        <v>2061.1979798328598</v>
      </c>
      <c r="G17" s="6">
        <v>6.7609279063274297</v>
      </c>
      <c r="H17" s="6">
        <v>96.611056585195797</v>
      </c>
      <c r="I17" s="6">
        <v>21.519875516657301</v>
      </c>
      <c r="J17" s="6">
        <v>2.94555045484053</v>
      </c>
      <c r="K17" s="6">
        <v>22.482906387017401</v>
      </c>
    </row>
    <row r="18" spans="1:11" ht="15" customHeight="1" x14ac:dyDescent="0.25">
      <c r="A18" s="4">
        <v>2016</v>
      </c>
      <c r="B18" s="5">
        <v>43.322447358761302</v>
      </c>
      <c r="C18" s="6">
        <v>-11.217998726396001</v>
      </c>
      <c r="D18" s="6">
        <v>1.26158320570536</v>
      </c>
      <c r="E18" s="6">
        <v>1.83699296460567</v>
      </c>
      <c r="F18" s="5">
        <v>2092.3881943782699</v>
      </c>
      <c r="G18" s="6">
        <v>1.5132080882368999</v>
      </c>
      <c r="H18" s="6">
        <v>98.693193936827896</v>
      </c>
      <c r="I18" s="6">
        <v>21.0106376645574</v>
      </c>
      <c r="J18" s="6">
        <v>1.8194514778816699</v>
      </c>
      <c r="K18" s="6">
        <v>22.547577468917801</v>
      </c>
    </row>
    <row r="19" spans="1:11" ht="15" customHeight="1" x14ac:dyDescent="0.25">
      <c r="A19" s="4">
        <v>2017</v>
      </c>
      <c r="B19" s="5">
        <v>50.950964326672697</v>
      </c>
      <c r="C19" s="6">
        <v>17.608693490324299</v>
      </c>
      <c r="D19" s="6">
        <v>2.1301100036596101</v>
      </c>
      <c r="E19" s="6">
        <v>2.3284049083171698</v>
      </c>
      <c r="F19" s="5">
        <v>2448.21663532297</v>
      </c>
      <c r="G19" s="6">
        <v>17.005852064197398</v>
      </c>
      <c r="H19" s="6">
        <v>97.880056403188206</v>
      </c>
      <c r="I19" s="6">
        <v>21.3021477015707</v>
      </c>
      <c r="J19" s="6">
        <v>2.4576222985250702</v>
      </c>
      <c r="K19" s="6">
        <v>22.293893156674599</v>
      </c>
    </row>
    <row r="20" spans="1:11" ht="15" customHeight="1" x14ac:dyDescent="0.25">
      <c r="A20" s="4">
        <v>2018</v>
      </c>
      <c r="B20" s="5">
        <v>64.748858419801195</v>
      </c>
      <c r="C20" s="6">
        <v>27.0807319850969</v>
      </c>
      <c r="D20" s="6">
        <v>2.44258329692817</v>
      </c>
      <c r="E20" s="6">
        <v>2.9113670177375299</v>
      </c>
      <c r="F20" s="5">
        <v>2744.6810407432399</v>
      </c>
      <c r="G20" s="6">
        <v>12.109402458216699</v>
      </c>
      <c r="H20" s="6">
        <v>99.222369520652506</v>
      </c>
      <c r="I20" s="6">
        <v>21.6987608435503</v>
      </c>
      <c r="J20" s="6">
        <v>2.9665050690130501</v>
      </c>
      <c r="K20" s="6">
        <v>22.302777079980501</v>
      </c>
    </row>
    <row r="21" spans="1:11" ht="15" customHeight="1" x14ac:dyDescent="0.25">
      <c r="A21" s="4">
        <v>2019</v>
      </c>
      <c r="B21" s="5">
        <v>57.031656138559903</v>
      </c>
      <c r="C21" s="6">
        <v>-11.918669254686399</v>
      </c>
      <c r="D21" s="6">
        <v>1.8122100752602099</v>
      </c>
      <c r="E21" s="6">
        <v>2.1420989619259201</v>
      </c>
      <c r="F21" s="5">
        <v>2912.4965966627001</v>
      </c>
      <c r="G21" s="6">
        <v>6.1142097543697798</v>
      </c>
      <c r="H21" s="6">
        <v>100.979786328903</v>
      </c>
      <c r="I21" s="6">
        <v>21.830963067453801</v>
      </c>
      <c r="J21" s="6">
        <v>2.58382533412825</v>
      </c>
      <c r="K21" s="6">
        <v>22.6817722119359</v>
      </c>
    </row>
    <row r="22" spans="1:11" ht="15" customHeight="1" x14ac:dyDescent="0.25">
      <c r="A22" s="4">
        <v>2020</v>
      </c>
      <c r="B22" s="5">
        <v>39.400438402551401</v>
      </c>
      <c r="C22" s="6">
        <v>-30.9147917661255</v>
      </c>
      <c r="D22" s="6">
        <v>1.23358439630629</v>
      </c>
      <c r="E22" s="6">
        <v>0.88958165500395903</v>
      </c>
      <c r="F22" s="5">
        <v>3218.5002993835401</v>
      </c>
      <c r="G22" s="6">
        <v>10.506577177514099</v>
      </c>
      <c r="H22" s="6">
        <v>126.37040595123101</v>
      </c>
      <c r="I22" s="6">
        <v>21.717446074796399</v>
      </c>
      <c r="J22" s="6">
        <v>-2.1630291403616599</v>
      </c>
      <c r="K22" s="6">
        <v>32.271904824612498</v>
      </c>
    </row>
    <row r="23" spans="1:11" ht="15" customHeight="1" x14ac:dyDescent="0.25">
      <c r="A23" s="4">
        <v>2021</v>
      </c>
      <c r="B23" s="5">
        <v>67.915613107546605</v>
      </c>
      <c r="C23" s="6">
        <v>72.372734571269902</v>
      </c>
      <c r="D23" s="6">
        <v>4.6978588636374203</v>
      </c>
      <c r="E23" s="6">
        <v>1.4356259158204201</v>
      </c>
      <c r="F23" s="5">
        <v>4266.7743879214904</v>
      </c>
      <c r="G23" s="6">
        <v>32.570265372935701</v>
      </c>
      <c r="H23" s="6">
        <v>120.36773335515301</v>
      </c>
      <c r="I23" s="6">
        <v>21.668250242580299</v>
      </c>
      <c r="J23" s="6">
        <v>6.05505293244555</v>
      </c>
      <c r="K23" s="6">
        <v>31.7949992963696</v>
      </c>
    </row>
    <row r="24" spans="1:11" ht="15" customHeight="1" x14ac:dyDescent="0.25">
      <c r="A24" s="4">
        <v>2022</v>
      </c>
      <c r="B24" s="5">
        <v>94.226080563581903</v>
      </c>
      <c r="C24" s="6">
        <v>38.7399395399285</v>
      </c>
      <c r="D24" s="6">
        <v>8.0027998205212096</v>
      </c>
      <c r="E24" s="6">
        <v>2.9499490389469498</v>
      </c>
      <c r="F24" s="5">
        <v>4100.6997892683103</v>
      </c>
      <c r="G24" s="6">
        <v>-3.8922751370051398</v>
      </c>
      <c r="H24" s="6">
        <v>114.694842004206</v>
      </c>
      <c r="I24" s="6">
        <v>22.294425640227701</v>
      </c>
      <c r="J24" s="6">
        <v>2.5123753198601699</v>
      </c>
      <c r="K24" s="6">
        <v>25.0456420310833</v>
      </c>
    </row>
    <row r="25" spans="1:11" ht="15" customHeight="1" x14ac:dyDescent="0.25">
      <c r="A25" s="4">
        <v>2023</v>
      </c>
      <c r="B25" s="5">
        <v>77.623633912570597</v>
      </c>
      <c r="C25" s="6">
        <v>-17.6197996899683</v>
      </c>
      <c r="D25" s="6">
        <v>4.1163383837448801</v>
      </c>
      <c r="E25" s="6">
        <v>3.95824022805192</v>
      </c>
      <c r="F25" s="5">
        <v>4284.2465585669197</v>
      </c>
      <c r="G25" s="6">
        <v>4.47598650793599</v>
      </c>
      <c r="H25" s="6">
        <v>116.918808847311</v>
      </c>
      <c r="I25" s="6">
        <v>21.879270964714301</v>
      </c>
      <c r="J25" s="6">
        <v>2.8875560074948701</v>
      </c>
      <c r="K25" s="6">
        <v>24.898282556877099</v>
      </c>
    </row>
    <row r="26" spans="1:11" ht="15" customHeight="1" x14ac:dyDescent="0.25">
      <c r="A26" s="4">
        <v>2024</v>
      </c>
      <c r="B26" s="5">
        <v>75.723390529943501</v>
      </c>
      <c r="C26" s="6">
        <v>-2.4480216743877099</v>
      </c>
      <c r="D26" s="6">
        <v>2.9495252048520699</v>
      </c>
      <c r="E26" s="6">
        <v>4.20626949018021</v>
      </c>
      <c r="F26" s="5">
        <v>5426.7089875360198</v>
      </c>
      <c r="G26" s="6">
        <v>26.666589173879199</v>
      </c>
      <c r="H26" s="6">
        <v>117.973234857902</v>
      </c>
      <c r="I26" s="6">
        <v>21.841012769964902</v>
      </c>
      <c r="J26" s="6">
        <v>2.7930012771677899</v>
      </c>
      <c r="K26" s="6"/>
    </row>
    <row r="28" spans="1:11" ht="15" customHeight="1" x14ac:dyDescent="0.25">
      <c r="A28" s="2" t="s">
        <v>38</v>
      </c>
      <c r="B28" s="7">
        <f t="shared" ref="B28:K28" si="0">AVERAGE(B2:B26)</f>
        <v>63.720411836514046</v>
      </c>
      <c r="C28" s="7">
        <f t="shared" si="0"/>
        <v>7.338318835341191</v>
      </c>
      <c r="D28" s="7">
        <f t="shared" si="0"/>
        <v>2.5763922974735998</v>
      </c>
      <c r="E28" s="7">
        <f t="shared" si="0"/>
        <v>3.2598673070693103</v>
      </c>
      <c r="F28" s="7">
        <f t="shared" si="0"/>
        <v>2110.8334922036011</v>
      </c>
      <c r="G28" s="7">
        <f t="shared" si="0"/>
        <v>6.720255753493654</v>
      </c>
      <c r="H28" s="7">
        <f t="shared" si="0"/>
        <v>84.457558446519215</v>
      </c>
      <c r="I28" s="7">
        <f t="shared" si="0"/>
        <v>21.44264530797129</v>
      </c>
      <c r="J28" s="7">
        <f t="shared" si="0"/>
        <v>2.2093703097960375</v>
      </c>
      <c r="K28" s="7">
        <f t="shared" si="0"/>
        <v>23.185290194279887</v>
      </c>
    </row>
    <row r="29" spans="1:11" ht="15" customHeight="1" x14ac:dyDescent="0.25">
      <c r="A29" s="2" t="s">
        <v>39</v>
      </c>
      <c r="B29" s="7">
        <f t="shared" ref="B29:K29" si="1">STDEV(B2:B26)</f>
        <v>23.927672901445238</v>
      </c>
      <c r="C29" s="7">
        <f t="shared" si="1"/>
        <v>27.975716144828631</v>
      </c>
      <c r="D29" s="7">
        <f t="shared" si="1"/>
        <v>1.6277641488837777</v>
      </c>
      <c r="E29" s="7">
        <f t="shared" si="1"/>
        <v>1.2452639077527976</v>
      </c>
      <c r="F29" s="7">
        <f t="shared" si="1"/>
        <v>1258.5667947496277</v>
      </c>
      <c r="G29" s="7">
        <f t="shared" si="1"/>
        <v>14.064216906621102</v>
      </c>
      <c r="H29" s="7">
        <f t="shared" si="1"/>
        <v>26.2636356055406</v>
      </c>
      <c r="I29" s="7">
        <f t="shared" si="1"/>
        <v>1.4258826981989572</v>
      </c>
      <c r="J29" s="7">
        <f t="shared" si="1"/>
        <v>1.7639568343379803</v>
      </c>
      <c r="K29" s="7">
        <f t="shared" si="1"/>
        <v>3.4143554313436821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8" width="14" customWidth="1"/>
  </cols>
  <sheetData>
    <row r="1" spans="1:8" ht="26.85" customHeight="1" x14ac:dyDescent="0.25">
      <c r="A1" s="1" t="s">
        <v>40</v>
      </c>
      <c r="B1" s="1" t="s">
        <v>28</v>
      </c>
      <c r="C1" s="1" t="s">
        <v>41</v>
      </c>
      <c r="D1" s="1" t="s">
        <v>32</v>
      </c>
      <c r="E1" s="1" t="s">
        <v>31</v>
      </c>
      <c r="F1" s="1" t="s">
        <v>29</v>
      </c>
      <c r="G1" s="1" t="s">
        <v>33</v>
      </c>
      <c r="H1" s="1" t="s">
        <v>42</v>
      </c>
    </row>
    <row r="2" spans="1:8" ht="15" customHeight="1" x14ac:dyDescent="0.25">
      <c r="A2" s="8" t="s">
        <v>43</v>
      </c>
      <c r="B2" s="5">
        <v>32.545713969639401</v>
      </c>
      <c r="C2" s="5"/>
      <c r="D2" s="9">
        <v>1485.45825726053</v>
      </c>
      <c r="E2" s="6">
        <v>5.8203913025234097</v>
      </c>
      <c r="F2" s="6"/>
      <c r="G2" s="6"/>
      <c r="H2" s="6"/>
    </row>
    <row r="3" spans="1:8" ht="15" customHeight="1" x14ac:dyDescent="0.25">
      <c r="A3" s="8" t="s">
        <v>44</v>
      </c>
      <c r="B3" s="5">
        <v>33.871000099182098</v>
      </c>
      <c r="C3" s="5"/>
      <c r="D3" s="9">
        <v>1468.05400390625</v>
      </c>
      <c r="E3" s="6">
        <v>5.7880500078201296</v>
      </c>
      <c r="F3" s="6"/>
      <c r="G3" s="6"/>
      <c r="H3" s="6"/>
    </row>
    <row r="4" spans="1:8" ht="15" customHeight="1" x14ac:dyDescent="0.25">
      <c r="A4" s="8" t="s">
        <v>45</v>
      </c>
      <c r="B4" s="5">
        <v>32.973181724548297</v>
      </c>
      <c r="C4" s="5"/>
      <c r="D4" s="9">
        <v>1390.14409290661</v>
      </c>
      <c r="E4" s="6">
        <v>5.7350000251423197</v>
      </c>
      <c r="F4" s="6"/>
      <c r="G4" s="6"/>
      <c r="H4" s="6"/>
    </row>
    <row r="5" spans="1:8" ht="15" customHeight="1" x14ac:dyDescent="0.25">
      <c r="A5" s="8" t="s">
        <v>46</v>
      </c>
      <c r="B5" s="5">
        <v>34.264500236511203</v>
      </c>
      <c r="C5" s="5"/>
      <c r="D5" s="9">
        <v>1375.0376034691201</v>
      </c>
      <c r="E5" s="6">
        <v>5.7023333594912602</v>
      </c>
      <c r="F5" s="6"/>
      <c r="G5" s="6"/>
      <c r="H5" s="6"/>
    </row>
    <row r="6" spans="1:8" ht="15" customHeight="1" x14ac:dyDescent="0.25">
      <c r="A6" s="8" t="s">
        <v>47</v>
      </c>
      <c r="B6" s="5">
        <v>28.354999923706099</v>
      </c>
      <c r="C6" s="5"/>
      <c r="D6" s="9">
        <v>1330.9294982910201</v>
      </c>
      <c r="E6" s="6">
        <v>5.2284499168396001</v>
      </c>
      <c r="F6" s="6"/>
      <c r="G6" s="6"/>
      <c r="H6" s="6"/>
    </row>
    <row r="7" spans="1:8" ht="15" customHeight="1" x14ac:dyDescent="0.25">
      <c r="A7" s="8" t="s">
        <v>48</v>
      </c>
      <c r="B7" s="5">
        <v>29.2666666848319</v>
      </c>
      <c r="C7" s="5"/>
      <c r="D7" s="9">
        <v>1335.63905552455</v>
      </c>
      <c r="E7" s="6">
        <v>5.1396190552484402</v>
      </c>
      <c r="F7" s="6"/>
      <c r="G7" s="6"/>
      <c r="H7" s="6"/>
    </row>
    <row r="8" spans="1:8" ht="15" customHeight="1" x14ac:dyDescent="0.25">
      <c r="A8" s="8" t="s">
        <v>49</v>
      </c>
      <c r="B8" s="5">
        <v>29.6442104138826</v>
      </c>
      <c r="C8" s="5"/>
      <c r="D8" s="9">
        <v>1305.7515804893101</v>
      </c>
      <c r="E8" s="6">
        <v>5.0887367850855796</v>
      </c>
      <c r="F8" s="6"/>
      <c r="G8" s="6"/>
      <c r="H8" s="6"/>
    </row>
    <row r="9" spans="1:8" ht="15" customHeight="1" x14ac:dyDescent="0.25">
      <c r="A9" s="8" t="s">
        <v>50</v>
      </c>
      <c r="B9" s="5">
        <v>27.263181773098999</v>
      </c>
      <c r="C9" s="5"/>
      <c r="D9" s="9">
        <v>1185.8500088778401</v>
      </c>
      <c r="E9" s="6">
        <v>4.8766818263314002</v>
      </c>
      <c r="F9" s="6"/>
      <c r="G9" s="6"/>
      <c r="H9" s="6"/>
    </row>
    <row r="10" spans="1:8" ht="15" customHeight="1" x14ac:dyDescent="0.25">
      <c r="A10" s="8" t="s">
        <v>51</v>
      </c>
      <c r="B10" s="5">
        <v>27.6245002746582</v>
      </c>
      <c r="C10" s="5"/>
      <c r="D10" s="9">
        <v>1189.83699951172</v>
      </c>
      <c r="E10" s="6">
        <v>5.1222500324249296</v>
      </c>
      <c r="F10" s="6"/>
      <c r="G10" s="6"/>
      <c r="H10" s="6"/>
    </row>
    <row r="11" spans="1:8" ht="15" customHeight="1" x14ac:dyDescent="0.25">
      <c r="A11" s="8" t="s">
        <v>52</v>
      </c>
      <c r="B11" s="5">
        <v>28.684090787714201</v>
      </c>
      <c r="C11" s="5"/>
      <c r="D11" s="9">
        <v>1270.3686356978001</v>
      </c>
      <c r="E11" s="6">
        <v>5.3680454600941099</v>
      </c>
      <c r="F11" s="6"/>
      <c r="G11" s="6"/>
      <c r="H11" s="6"/>
    </row>
    <row r="12" spans="1:8" ht="15" customHeight="1" x14ac:dyDescent="0.25">
      <c r="A12" s="8" t="s">
        <v>53</v>
      </c>
      <c r="B12" s="5">
        <v>27.5880951654343</v>
      </c>
      <c r="C12" s="5"/>
      <c r="D12" s="9">
        <v>1238.71046665737</v>
      </c>
      <c r="E12" s="6">
        <v>5.2540000279744499</v>
      </c>
      <c r="F12" s="6"/>
      <c r="G12" s="6"/>
      <c r="H12" s="6"/>
    </row>
    <row r="13" spans="1:8" ht="15" customHeight="1" x14ac:dyDescent="0.25">
      <c r="A13" s="8" t="s">
        <v>54</v>
      </c>
      <c r="B13" s="5">
        <v>26.467142831711499</v>
      </c>
      <c r="C13" s="5"/>
      <c r="D13" s="9">
        <v>1204.44952101935</v>
      </c>
      <c r="E13" s="6">
        <v>5.1997619129362604</v>
      </c>
      <c r="F13" s="6"/>
      <c r="G13" s="6"/>
      <c r="H13" s="6"/>
    </row>
    <row r="14" spans="1:8" ht="15" customHeight="1" x14ac:dyDescent="0.25">
      <c r="A14" s="8" t="s">
        <v>55</v>
      </c>
      <c r="B14" s="5">
        <v>27.306521705959199</v>
      </c>
      <c r="C14" s="5"/>
      <c r="D14" s="9">
        <v>1178.50392747962</v>
      </c>
      <c r="E14" s="6">
        <v>4.9609999863997798</v>
      </c>
      <c r="F14" s="6">
        <v>-16.097948468937101</v>
      </c>
      <c r="G14" s="6">
        <v>-20.663948534440401</v>
      </c>
      <c r="H14" s="6">
        <v>-85.939131612362999</v>
      </c>
    </row>
    <row r="15" spans="1:8" ht="15" customHeight="1" x14ac:dyDescent="0.25">
      <c r="A15" s="8" t="s">
        <v>56</v>
      </c>
      <c r="B15" s="5">
        <v>25.925624966621399</v>
      </c>
      <c r="C15" s="5"/>
      <c r="D15" s="9">
        <v>1044.64399414063</v>
      </c>
      <c r="E15" s="6">
        <v>4.7345333417256699</v>
      </c>
      <c r="F15" s="6">
        <v>-23.457751791487802</v>
      </c>
      <c r="G15" s="6">
        <v>-28.841582710104699</v>
      </c>
      <c r="H15" s="6">
        <v>-105.351666609446</v>
      </c>
    </row>
    <row r="16" spans="1:8" ht="15" customHeight="1" x14ac:dyDescent="0.25">
      <c r="A16" s="8" t="s">
        <v>57</v>
      </c>
      <c r="B16" s="5">
        <v>22.213478337163501</v>
      </c>
      <c r="C16" s="5"/>
      <c r="D16" s="9">
        <v>1076.59043817935</v>
      </c>
      <c r="E16" s="6">
        <v>4.5407391631084897</v>
      </c>
      <c r="F16" s="6">
        <v>-32.631680731539198</v>
      </c>
      <c r="G16" s="6">
        <v>-22.5554786965759</v>
      </c>
      <c r="H16" s="6">
        <v>-119.42608620338299</v>
      </c>
    </row>
    <row r="17" spans="1:8" ht="15" customHeight="1" x14ac:dyDescent="0.25">
      <c r="A17" s="8" t="s">
        <v>58</v>
      </c>
      <c r="B17" s="5">
        <v>19.669499969482398</v>
      </c>
      <c r="C17" s="5"/>
      <c r="D17" s="9">
        <v>1129.68333217076</v>
      </c>
      <c r="E17" s="6">
        <v>4.6061905225117998</v>
      </c>
      <c r="F17" s="6">
        <v>-42.595106206968097</v>
      </c>
      <c r="G17" s="6">
        <v>-17.843459021000701</v>
      </c>
      <c r="H17" s="6">
        <v>-109.61428369794599</v>
      </c>
    </row>
    <row r="18" spans="1:8" ht="15" customHeight="1" x14ac:dyDescent="0.25">
      <c r="A18" s="8" t="s">
        <v>59</v>
      </c>
      <c r="B18" s="5">
        <v>19.406842382330598</v>
      </c>
      <c r="C18" s="5"/>
      <c r="D18" s="9">
        <v>1144.93001098633</v>
      </c>
      <c r="E18" s="6">
        <v>5.0476999521255497</v>
      </c>
      <c r="F18" s="6">
        <v>-31.557600301364701</v>
      </c>
      <c r="G18" s="6">
        <v>-13.9751570269891</v>
      </c>
      <c r="H18" s="6">
        <v>-18.074996471405001</v>
      </c>
    </row>
    <row r="19" spans="1:8" ht="15" customHeight="1" x14ac:dyDescent="0.25">
      <c r="A19" s="8" t="s">
        <v>60</v>
      </c>
      <c r="B19" s="5">
        <v>19.748095194498699</v>
      </c>
      <c r="C19" s="5"/>
      <c r="D19" s="9">
        <v>1140.20762416295</v>
      </c>
      <c r="E19" s="6">
        <v>4.9916190646943601</v>
      </c>
      <c r="F19" s="6">
        <v>-32.5235927713845</v>
      </c>
      <c r="G19" s="6">
        <v>-14.632054262957601</v>
      </c>
      <c r="H19" s="6">
        <v>-14.7999990554083</v>
      </c>
    </row>
    <row r="20" spans="1:8" ht="15" customHeight="1" x14ac:dyDescent="0.25">
      <c r="A20" s="8" t="s">
        <v>61</v>
      </c>
      <c r="B20" s="5">
        <v>20.751578883120899</v>
      </c>
      <c r="C20" s="5"/>
      <c r="D20" s="9">
        <v>1100.6689388877501</v>
      </c>
      <c r="E20" s="6">
        <v>4.9032631924277901</v>
      </c>
      <c r="F20" s="6">
        <v>-29.997869420725898</v>
      </c>
      <c r="G20" s="6">
        <v>-15.7060994346805</v>
      </c>
      <c r="H20" s="6">
        <v>-18.5473592657792</v>
      </c>
    </row>
    <row r="21" spans="1:8" ht="15" customHeight="1" x14ac:dyDescent="0.25">
      <c r="A21" s="8" t="s">
        <v>62</v>
      </c>
      <c r="B21" s="5">
        <v>24.435999965667701</v>
      </c>
      <c r="C21" s="5"/>
      <c r="D21" s="9">
        <v>1153.7910034179699</v>
      </c>
      <c r="E21" s="6">
        <v>5.27289998531342</v>
      </c>
      <c r="F21" s="6">
        <v>-10.369962798035999</v>
      </c>
      <c r="G21" s="6">
        <v>-2.7034620921586301</v>
      </c>
      <c r="H21" s="6">
        <v>39.621815898201703</v>
      </c>
    </row>
    <row r="22" spans="1:8" ht="15" customHeight="1" x14ac:dyDescent="0.25">
      <c r="A22" s="8" t="s">
        <v>63</v>
      </c>
      <c r="B22" s="5">
        <v>26.260000055486501</v>
      </c>
      <c r="C22" s="5"/>
      <c r="D22" s="9">
        <v>1112.0345403497899</v>
      </c>
      <c r="E22" s="6">
        <v>5.1938636519692203</v>
      </c>
      <c r="F22" s="6">
        <v>-4.9394566620394098</v>
      </c>
      <c r="G22" s="6">
        <v>-6.5389174478403298</v>
      </c>
      <c r="H22" s="6">
        <v>7.16136195442889</v>
      </c>
    </row>
    <row r="23" spans="1:8" ht="15" customHeight="1" x14ac:dyDescent="0.25">
      <c r="A23" s="8" t="s">
        <v>64</v>
      </c>
      <c r="B23" s="5">
        <v>26.935000072826</v>
      </c>
      <c r="C23" s="5"/>
      <c r="D23" s="9">
        <v>1079.2672784978699</v>
      </c>
      <c r="E23" s="6">
        <v>5.1408181407234901</v>
      </c>
      <c r="F23" s="6">
        <v>-6.0977729007792103</v>
      </c>
      <c r="G23" s="6">
        <v>-15.0429845188172</v>
      </c>
      <c r="H23" s="6">
        <v>-22.722731937061699</v>
      </c>
    </row>
    <row r="24" spans="1:8" ht="15" customHeight="1" x14ac:dyDescent="0.25">
      <c r="A24" s="8" t="s">
        <v>65</v>
      </c>
      <c r="B24" s="5">
        <v>25.5505000114441</v>
      </c>
      <c r="C24" s="5"/>
      <c r="D24" s="9">
        <v>1014.04800720215</v>
      </c>
      <c r="E24" s="6">
        <v>4.8949500083923301</v>
      </c>
      <c r="F24" s="6">
        <v>-7.3857768786559399</v>
      </c>
      <c r="G24" s="6">
        <v>-18.136801577326199</v>
      </c>
      <c r="H24" s="6">
        <v>-35.905001958211301</v>
      </c>
    </row>
    <row r="25" spans="1:8" ht="15" customHeight="1" x14ac:dyDescent="0.25">
      <c r="A25" s="8" t="s">
        <v>66</v>
      </c>
      <c r="B25" s="5">
        <v>26.939523787725498</v>
      </c>
      <c r="C25" s="5"/>
      <c r="D25" s="9">
        <v>903.58545754172599</v>
      </c>
      <c r="E25" s="6">
        <v>4.60790907252919</v>
      </c>
      <c r="F25" s="6">
        <v>1.7847825850247001</v>
      </c>
      <c r="G25" s="6">
        <v>-24.979383380300799</v>
      </c>
      <c r="H25" s="6">
        <v>-59.185284040707103</v>
      </c>
    </row>
    <row r="26" spans="1:8" ht="15" customHeight="1" x14ac:dyDescent="0.25">
      <c r="A26" s="8" t="s">
        <v>67</v>
      </c>
      <c r="B26" s="5">
        <v>28.204545454545499</v>
      </c>
      <c r="C26" s="5"/>
      <c r="D26" s="9">
        <v>912.55227383700299</v>
      </c>
      <c r="E26" s="6">
        <v>4.2403636412187096</v>
      </c>
      <c r="F26" s="6">
        <v>3.2886786470146498</v>
      </c>
      <c r="G26" s="6">
        <v>-22.566887342614798</v>
      </c>
      <c r="H26" s="6">
        <v>-72.063634518106895</v>
      </c>
    </row>
    <row r="27" spans="1:8" ht="15" customHeight="1" x14ac:dyDescent="0.25">
      <c r="A27" s="8" t="s">
        <v>68</v>
      </c>
      <c r="B27" s="5">
        <v>29.682499980926501</v>
      </c>
      <c r="C27" s="5"/>
      <c r="D27" s="9">
        <v>867.81200561523406</v>
      </c>
      <c r="E27" s="6">
        <v>3.8564499974250799</v>
      </c>
      <c r="F27" s="6">
        <v>14.490971844042299</v>
      </c>
      <c r="G27" s="6">
        <v>-16.927488169867999</v>
      </c>
      <c r="H27" s="6">
        <v>-87.808334430058807</v>
      </c>
    </row>
    <row r="28" spans="1:8" ht="15" customHeight="1" x14ac:dyDescent="0.25">
      <c r="A28" s="8" t="s">
        <v>69</v>
      </c>
      <c r="B28" s="5">
        <v>28.8634782874066</v>
      </c>
      <c r="C28" s="5"/>
      <c r="D28" s="9">
        <v>854.63130785071303</v>
      </c>
      <c r="E28" s="6">
        <v>3.91452174601348</v>
      </c>
      <c r="F28" s="6">
        <v>29.936779145108101</v>
      </c>
      <c r="G28" s="6">
        <v>-20.616858784664299</v>
      </c>
      <c r="H28" s="6">
        <v>-62.621741709501897</v>
      </c>
    </row>
    <row r="29" spans="1:8" ht="15" customHeight="1" x14ac:dyDescent="0.25">
      <c r="A29" s="8" t="s">
        <v>70</v>
      </c>
      <c r="B29" s="5">
        <v>26.189473704287899</v>
      </c>
      <c r="C29" s="5"/>
      <c r="D29" s="9">
        <v>909.92700500488297</v>
      </c>
      <c r="E29" s="6">
        <v>4.03065000772476</v>
      </c>
      <c r="F29" s="6">
        <v>33.147633365979402</v>
      </c>
      <c r="G29" s="6">
        <v>-19.452914007644999</v>
      </c>
      <c r="H29" s="6">
        <v>-57.554051478703798</v>
      </c>
    </row>
    <row r="30" spans="1:8" ht="15" customHeight="1" x14ac:dyDescent="0.25">
      <c r="A30" s="8" t="s">
        <v>71</v>
      </c>
      <c r="B30" s="5">
        <v>29.393333525884699</v>
      </c>
      <c r="C30" s="5"/>
      <c r="D30" s="9">
        <v>899.17857433500706</v>
      </c>
      <c r="E30" s="6">
        <v>4.0201904319581496</v>
      </c>
      <c r="F30" s="6">
        <v>51.458609014346798</v>
      </c>
      <c r="G30" s="6">
        <v>-21.4643195909951</v>
      </c>
      <c r="H30" s="6">
        <v>-102.75095201674</v>
      </c>
    </row>
    <row r="31" spans="1:8" ht="15" customHeight="1" x14ac:dyDescent="0.25">
      <c r="A31" s="8" t="s">
        <v>72</v>
      </c>
      <c r="B31" s="5">
        <v>32.699047270275301</v>
      </c>
      <c r="C31" s="5"/>
      <c r="D31" s="9">
        <v>895.83619035993297</v>
      </c>
      <c r="E31" s="6">
        <v>4.0240476017906603</v>
      </c>
      <c r="F31" s="6">
        <v>65.580765882597106</v>
      </c>
      <c r="G31" s="6">
        <v>-21.432187316096201</v>
      </c>
      <c r="H31" s="6">
        <v>-96.7571462903704</v>
      </c>
    </row>
    <row r="32" spans="1:8" ht="15" customHeight="1" x14ac:dyDescent="0.25">
      <c r="A32" s="8" t="s">
        <v>73</v>
      </c>
      <c r="B32" s="5">
        <v>35.733157910798703</v>
      </c>
      <c r="C32" s="5"/>
      <c r="D32" s="9">
        <v>837.61895109477803</v>
      </c>
      <c r="E32" s="6">
        <v>3.8896315850709602</v>
      </c>
      <c r="F32" s="6">
        <v>72.194887492940097</v>
      </c>
      <c r="G32" s="6">
        <v>-23.8991015826055</v>
      </c>
      <c r="H32" s="6">
        <v>-101.363160735682</v>
      </c>
    </row>
    <row r="33" spans="1:8" ht="15" customHeight="1" x14ac:dyDescent="0.25">
      <c r="A33" s="8" t="s">
        <v>74</v>
      </c>
      <c r="B33" s="5">
        <v>33.156190508887903</v>
      </c>
      <c r="C33" s="5"/>
      <c r="D33" s="9">
        <v>846.62142508370505</v>
      </c>
      <c r="E33" s="6">
        <v>3.7954285485403898</v>
      </c>
      <c r="F33" s="6">
        <v>35.685834651628397</v>
      </c>
      <c r="G33" s="6">
        <v>-26.622635938771399</v>
      </c>
      <c r="H33" s="6">
        <v>-147.747143677303</v>
      </c>
    </row>
    <row r="34" spans="1:8" ht="15" customHeight="1" x14ac:dyDescent="0.25">
      <c r="A34" s="8" t="s">
        <v>75</v>
      </c>
      <c r="B34" s="5">
        <v>28.135714122227299</v>
      </c>
      <c r="C34" s="5"/>
      <c r="D34" s="9">
        <v>890.02571323939696</v>
      </c>
      <c r="E34" s="6">
        <v>3.9383809339432498</v>
      </c>
      <c r="F34" s="6">
        <v>7.1428562938973004</v>
      </c>
      <c r="G34" s="6">
        <v>-19.964202464480799</v>
      </c>
      <c r="H34" s="6">
        <v>-125.548271802597</v>
      </c>
    </row>
    <row r="35" spans="1:8" ht="15" customHeight="1" x14ac:dyDescent="0.25">
      <c r="A35" s="8" t="s">
        <v>76</v>
      </c>
      <c r="B35" s="5">
        <v>28.070476168677899</v>
      </c>
      <c r="C35" s="5"/>
      <c r="D35" s="9">
        <v>935.96285284133205</v>
      </c>
      <c r="E35" s="6">
        <v>3.5583809443882499</v>
      </c>
      <c r="F35" s="6">
        <v>4.2156157148016202</v>
      </c>
      <c r="G35" s="6">
        <v>-13.2779366623613</v>
      </c>
      <c r="H35" s="6">
        <v>-158.24371963352399</v>
      </c>
    </row>
    <row r="36" spans="1:8" ht="15" customHeight="1" x14ac:dyDescent="0.25">
      <c r="A36" s="8" t="s">
        <v>77</v>
      </c>
      <c r="B36" s="5">
        <v>30.5195238930839</v>
      </c>
      <c r="C36" s="5"/>
      <c r="D36" s="9">
        <v>987.99523925781205</v>
      </c>
      <c r="E36" s="6">
        <v>3.3235714435577401</v>
      </c>
      <c r="F36" s="6">
        <v>19.447853777476499</v>
      </c>
      <c r="G36" s="6">
        <v>-2.5691848669194601</v>
      </c>
      <c r="H36" s="6">
        <v>-157.13785648345899</v>
      </c>
    </row>
    <row r="37" spans="1:8" ht="15" customHeight="1" x14ac:dyDescent="0.25">
      <c r="A37" s="8" t="s">
        <v>78</v>
      </c>
      <c r="B37" s="5">
        <v>30.7022726752541</v>
      </c>
      <c r="C37" s="5"/>
      <c r="D37" s="9">
        <v>992.54091020063902</v>
      </c>
      <c r="E37" s="6">
        <v>3.95186363567006</v>
      </c>
      <c r="F37" s="6">
        <v>13.9673919894717</v>
      </c>
      <c r="G37" s="6">
        <v>9.8447193806022106</v>
      </c>
      <c r="H37" s="6">
        <v>-65.604543685913001</v>
      </c>
    </row>
    <row r="38" spans="1:8" ht="15" customHeight="1" x14ac:dyDescent="0.25">
      <c r="A38" s="8" t="s">
        <v>79</v>
      </c>
      <c r="B38" s="5">
        <v>31.597142900739399</v>
      </c>
      <c r="C38" s="5"/>
      <c r="D38" s="9">
        <v>989.53190976097505</v>
      </c>
      <c r="E38" s="6">
        <v>4.4324761799403598</v>
      </c>
      <c r="F38" s="6">
        <v>12.0285485602364</v>
      </c>
      <c r="G38" s="6">
        <v>8.43564123732836</v>
      </c>
      <c r="H38" s="6">
        <v>19.2112538721654</v>
      </c>
    </row>
    <row r="39" spans="1:8" ht="15" customHeight="1" x14ac:dyDescent="0.25">
      <c r="A39" s="8" t="s">
        <v>80</v>
      </c>
      <c r="B39" s="5">
        <v>28.311428524198998</v>
      </c>
      <c r="C39" s="5"/>
      <c r="D39" s="9">
        <v>1019.44190034412</v>
      </c>
      <c r="E39" s="6">
        <v>4.2619524115607899</v>
      </c>
      <c r="F39" s="6">
        <v>-4.6191239201838004</v>
      </c>
      <c r="G39" s="6">
        <v>17.472666170524999</v>
      </c>
      <c r="H39" s="6">
        <v>40.550241413570603</v>
      </c>
    </row>
    <row r="40" spans="1:8" ht="15" customHeight="1" x14ac:dyDescent="0.25">
      <c r="A40" s="8" t="s">
        <v>81</v>
      </c>
      <c r="B40" s="5">
        <v>30.345217331596</v>
      </c>
      <c r="C40" s="5"/>
      <c r="D40" s="9">
        <v>1038.7343431555701</v>
      </c>
      <c r="E40" s="6">
        <v>4.2645217543063003</v>
      </c>
      <c r="F40" s="6">
        <v>5.1336122051372799</v>
      </c>
      <c r="G40" s="6">
        <v>21.5418079835915</v>
      </c>
      <c r="H40" s="6">
        <v>35.000000829282001</v>
      </c>
    </row>
    <row r="41" spans="1:8" ht="15" customHeight="1" x14ac:dyDescent="0.25">
      <c r="A41" s="8" t="s">
        <v>82</v>
      </c>
      <c r="B41" s="5">
        <v>31.056110805935301</v>
      </c>
      <c r="C41" s="5"/>
      <c r="D41" s="9">
        <v>1049.89894505551</v>
      </c>
      <c r="E41" s="6">
        <v>4.2851666609446202</v>
      </c>
      <c r="F41" s="6">
        <v>18.582416571626901</v>
      </c>
      <c r="G41" s="6">
        <v>15.382765791182999</v>
      </c>
      <c r="H41" s="6">
        <v>25.451665321985899</v>
      </c>
    </row>
    <row r="42" spans="1:8" ht="15" customHeight="1" x14ac:dyDescent="0.25">
      <c r="A42" s="8" t="s">
        <v>83</v>
      </c>
      <c r="B42" s="5">
        <v>32.142381123134101</v>
      </c>
      <c r="C42" s="5"/>
      <c r="D42" s="9">
        <v>1080.6359197443201</v>
      </c>
      <c r="E42" s="6">
        <v>4.2590909004211399</v>
      </c>
      <c r="F42" s="6">
        <v>9.3526227463395397</v>
      </c>
      <c r="G42" s="6">
        <v>20.1803457720852</v>
      </c>
      <c r="H42" s="6">
        <v>23.890046846298901</v>
      </c>
    </row>
    <row r="43" spans="1:8" ht="15" customHeight="1" x14ac:dyDescent="0.25">
      <c r="A43" s="8" t="s">
        <v>84</v>
      </c>
      <c r="B43" s="5">
        <v>34.2247368661981</v>
      </c>
      <c r="C43" s="5"/>
      <c r="D43" s="9">
        <v>1132.5174987793</v>
      </c>
      <c r="E43" s="6">
        <v>4.1293000221252401</v>
      </c>
      <c r="F43" s="6">
        <v>4.6658533605341299</v>
      </c>
      <c r="G43" s="6">
        <v>26.420154819182802</v>
      </c>
      <c r="H43" s="6">
        <v>10.525242033459</v>
      </c>
    </row>
    <row r="44" spans="1:8" ht="15" customHeight="1" x14ac:dyDescent="0.25">
      <c r="A44" s="8" t="s">
        <v>85</v>
      </c>
      <c r="B44" s="5">
        <v>34.498420916105601</v>
      </c>
      <c r="C44" s="5"/>
      <c r="D44" s="9">
        <v>1143.35632324219</v>
      </c>
      <c r="E44" s="6">
        <v>4.0685789334146598</v>
      </c>
      <c r="F44" s="6">
        <v>-3.4554376575824701</v>
      </c>
      <c r="G44" s="6">
        <v>36.500770636553398</v>
      </c>
      <c r="H44" s="6">
        <v>17.8947348343698</v>
      </c>
    </row>
    <row r="45" spans="1:8" ht="15" customHeight="1" x14ac:dyDescent="0.25">
      <c r="A45" s="8" t="s">
        <v>86</v>
      </c>
      <c r="B45" s="5">
        <v>36.718260391898802</v>
      </c>
      <c r="C45" s="5"/>
      <c r="D45" s="9">
        <v>1123.97824494735</v>
      </c>
      <c r="E45" s="6">
        <v>3.81439130202584</v>
      </c>
      <c r="F45" s="6">
        <v>10.743302618122099</v>
      </c>
      <c r="G45" s="6">
        <v>32.760430063085501</v>
      </c>
      <c r="H45" s="6">
        <v>1.89627534854484</v>
      </c>
    </row>
    <row r="46" spans="1:8" ht="15" customHeight="1" x14ac:dyDescent="0.25">
      <c r="A46" s="8" t="s">
        <v>87</v>
      </c>
      <c r="B46" s="5">
        <v>36.616666702997101</v>
      </c>
      <c r="C46" s="5"/>
      <c r="D46" s="9">
        <v>1133.0785725911501</v>
      </c>
      <c r="E46" s="6">
        <v>4.3276190417153497</v>
      </c>
      <c r="F46" s="6">
        <v>30.143015186772502</v>
      </c>
      <c r="G46" s="6">
        <v>27.3085210613879</v>
      </c>
      <c r="H46" s="6">
        <v>38.9238107772101</v>
      </c>
    </row>
    <row r="47" spans="1:8" ht="15" customHeight="1" x14ac:dyDescent="0.25">
      <c r="A47" s="8" t="s">
        <v>88</v>
      </c>
      <c r="B47" s="5">
        <v>40.280000114440902</v>
      </c>
      <c r="C47" s="5"/>
      <c r="D47" s="9">
        <v>1102.78150024414</v>
      </c>
      <c r="E47" s="6">
        <v>4.7028500080108699</v>
      </c>
      <c r="F47" s="6">
        <v>43.495963062382401</v>
      </c>
      <c r="G47" s="6">
        <v>17.823212416645799</v>
      </c>
      <c r="H47" s="6">
        <v>114.446906362261</v>
      </c>
    </row>
    <row r="48" spans="1:8" ht="15" customHeight="1" x14ac:dyDescent="0.25">
      <c r="A48" s="8" t="s">
        <v>89</v>
      </c>
      <c r="B48" s="5">
        <v>38.049523853120398</v>
      </c>
      <c r="C48" s="5"/>
      <c r="D48" s="9">
        <v>1132.75715564546</v>
      </c>
      <c r="E48" s="6">
        <v>4.7229999587649401</v>
      </c>
      <c r="F48" s="6">
        <v>24.672730762169301</v>
      </c>
      <c r="G48" s="6">
        <v>14.6520864307398</v>
      </c>
      <c r="H48" s="6">
        <v>139.94285152072001</v>
      </c>
    </row>
    <row r="49" spans="1:8" ht="15" customHeight="1" x14ac:dyDescent="0.25">
      <c r="A49" s="8" t="s">
        <v>90</v>
      </c>
      <c r="B49" s="5">
        <v>40.807619367327</v>
      </c>
      <c r="C49" s="5"/>
      <c r="D49" s="9">
        <v>1105.8466564360101</v>
      </c>
      <c r="E49" s="6">
        <v>4.4788095383417001</v>
      </c>
      <c r="F49" s="6">
        <v>32.914002161858697</v>
      </c>
      <c r="G49" s="6">
        <v>11.415725545506101</v>
      </c>
      <c r="H49" s="6">
        <v>52.694590267164898</v>
      </c>
    </row>
    <row r="50" spans="1:8" ht="15" customHeight="1" x14ac:dyDescent="0.25">
      <c r="A50" s="8" t="s">
        <v>91</v>
      </c>
      <c r="B50" s="5">
        <v>44.883636474609403</v>
      </c>
      <c r="C50" s="5"/>
      <c r="D50" s="9">
        <v>1088.9349920099401</v>
      </c>
      <c r="E50" s="6">
        <v>4.2692727392370102</v>
      </c>
      <c r="F50" s="6">
        <v>42.049667641181102</v>
      </c>
      <c r="G50" s="6">
        <v>10.0454650596341</v>
      </c>
      <c r="H50" s="6">
        <v>-16.320344070335501</v>
      </c>
    </row>
    <row r="51" spans="1:8" ht="15" customHeight="1" x14ac:dyDescent="0.25">
      <c r="A51" s="8" t="s">
        <v>92</v>
      </c>
      <c r="B51" s="5">
        <v>45.937619163876498</v>
      </c>
      <c r="C51" s="5"/>
      <c r="D51" s="9">
        <v>1117.65620349702</v>
      </c>
      <c r="E51" s="6">
        <v>4.1147142818995901</v>
      </c>
      <c r="F51" s="6">
        <v>62.2582171175561</v>
      </c>
      <c r="G51" s="6">
        <v>9.6341246244389804</v>
      </c>
      <c r="H51" s="6">
        <v>-14.7238129661197</v>
      </c>
    </row>
    <row r="52" spans="1:8" ht="15" customHeight="1" x14ac:dyDescent="0.25">
      <c r="A52" s="8" t="s">
        <v>93</v>
      </c>
      <c r="B52" s="5">
        <v>53.0938088553292</v>
      </c>
      <c r="C52" s="5"/>
      <c r="D52" s="9">
        <v>1118.06809779576</v>
      </c>
      <c r="E52" s="6">
        <v>4.0828094823019798</v>
      </c>
      <c r="F52" s="6">
        <v>74.965986485280197</v>
      </c>
      <c r="G52" s="6">
        <v>7.6375403550420904</v>
      </c>
      <c r="H52" s="6">
        <v>-18.171227200431201</v>
      </c>
    </row>
    <row r="53" spans="1:8" ht="15" customHeight="1" x14ac:dyDescent="0.25">
      <c r="A53" s="8" t="s">
        <v>94</v>
      </c>
      <c r="B53" s="5">
        <v>48.475499725341798</v>
      </c>
      <c r="C53" s="5"/>
      <c r="D53" s="9">
        <v>1168.93762207031</v>
      </c>
      <c r="E53" s="6">
        <v>4.1881428446088496</v>
      </c>
      <c r="F53" s="6">
        <v>56.090052705753898</v>
      </c>
      <c r="G53" s="6">
        <v>11.3381080698685</v>
      </c>
      <c r="H53" s="6">
        <v>-9.7023816335768807</v>
      </c>
    </row>
    <row r="54" spans="1:8" ht="15" customHeight="1" x14ac:dyDescent="0.25">
      <c r="A54" s="8" t="s">
        <v>95</v>
      </c>
      <c r="B54" s="5">
        <v>43.256190163748599</v>
      </c>
      <c r="C54" s="5"/>
      <c r="D54" s="9">
        <v>1199.20954478871</v>
      </c>
      <c r="E54" s="6">
        <v>4.2218181653456304</v>
      </c>
      <c r="F54" s="6">
        <v>34.576806858330499</v>
      </c>
      <c r="G54" s="6">
        <v>10.9725785417575</v>
      </c>
      <c r="H54" s="6">
        <v>-3.7272735075517498</v>
      </c>
    </row>
    <row r="55" spans="1:8" ht="15" customHeight="1" x14ac:dyDescent="0.25">
      <c r="A55" s="8" t="s">
        <v>96</v>
      </c>
      <c r="B55" s="5">
        <v>46.851500129699701</v>
      </c>
      <c r="C55" s="5"/>
      <c r="D55" s="9">
        <v>1181.40799560547</v>
      </c>
      <c r="E55" s="6">
        <v>4.20839996337891</v>
      </c>
      <c r="F55" s="6">
        <v>36.8936752176242</v>
      </c>
      <c r="G55" s="6">
        <v>4.3169749587860196</v>
      </c>
      <c r="H55" s="6">
        <v>7.9099941253661896</v>
      </c>
    </row>
    <row r="56" spans="1:8" ht="15" customHeight="1" x14ac:dyDescent="0.25">
      <c r="A56" s="8" t="s">
        <v>97</v>
      </c>
      <c r="B56" s="5">
        <v>48.0531576056229</v>
      </c>
      <c r="C56" s="5"/>
      <c r="D56" s="9">
        <v>1199.6268439041901</v>
      </c>
      <c r="E56" s="6">
        <v>4.1571052827333199</v>
      </c>
      <c r="F56" s="6">
        <v>39.290890219237099</v>
      </c>
      <c r="G56" s="6">
        <v>4.9215209220553104</v>
      </c>
      <c r="H56" s="6">
        <v>8.8526349318654791</v>
      </c>
    </row>
    <row r="57" spans="1:8" ht="15" customHeight="1" x14ac:dyDescent="0.25">
      <c r="A57" s="8" t="s">
        <v>98</v>
      </c>
      <c r="B57" s="5">
        <v>54.629545558582699</v>
      </c>
      <c r="C57" s="5"/>
      <c r="D57" s="9">
        <v>1194.89772727273</v>
      </c>
      <c r="E57" s="6">
        <v>4.4904545437205901</v>
      </c>
      <c r="F57" s="6">
        <v>48.7803206783611</v>
      </c>
      <c r="G57" s="6">
        <v>6.3096846085929998</v>
      </c>
      <c r="H57" s="6">
        <v>67.606324169475499</v>
      </c>
    </row>
    <row r="58" spans="1:8" ht="15" customHeight="1" x14ac:dyDescent="0.25">
      <c r="A58" s="8" t="s">
        <v>99</v>
      </c>
      <c r="B58" s="5">
        <v>53.217619214739102</v>
      </c>
      <c r="C58" s="5"/>
      <c r="D58" s="9">
        <v>1164.42761230469</v>
      </c>
      <c r="E58" s="6">
        <v>4.3300476528349403</v>
      </c>
      <c r="F58" s="6">
        <v>45.337148371244801</v>
      </c>
      <c r="G58" s="6">
        <v>2.76671366592451</v>
      </c>
      <c r="H58" s="6">
        <v>0.24286111195879201</v>
      </c>
    </row>
    <row r="59" spans="1:8" ht="15" customHeight="1" x14ac:dyDescent="0.25">
      <c r="A59" s="8" t="s">
        <v>100</v>
      </c>
      <c r="B59" s="5">
        <v>49.870952061244402</v>
      </c>
      <c r="C59" s="5"/>
      <c r="D59" s="9">
        <v>1178.2757161458301</v>
      </c>
      <c r="E59" s="6">
        <v>4.13738091786702</v>
      </c>
      <c r="F59" s="6">
        <v>23.810704864831902</v>
      </c>
      <c r="G59" s="6">
        <v>6.8457999961895499</v>
      </c>
      <c r="H59" s="6">
        <v>-56.546909014383999</v>
      </c>
    </row>
    <row r="60" spans="1:8" ht="15" customHeight="1" x14ac:dyDescent="0.25">
      <c r="A60" s="8" t="s">
        <v>101</v>
      </c>
      <c r="B60" s="5">
        <v>56.419545433738001</v>
      </c>
      <c r="C60" s="5"/>
      <c r="D60" s="9">
        <v>1202.2531682794699</v>
      </c>
      <c r="E60" s="6">
        <v>3.9939090880480701</v>
      </c>
      <c r="F60" s="6">
        <v>48.279241683890803</v>
      </c>
      <c r="G60" s="6">
        <v>6.1351201612505699</v>
      </c>
      <c r="H60" s="6">
        <v>-72.909087071687097</v>
      </c>
    </row>
    <row r="61" spans="1:8" ht="15" customHeight="1" x14ac:dyDescent="0.25">
      <c r="A61" s="8" t="s">
        <v>102</v>
      </c>
      <c r="B61" s="5">
        <v>59.025999832153303</v>
      </c>
      <c r="C61" s="5"/>
      <c r="D61" s="9">
        <v>1222.2369995117199</v>
      </c>
      <c r="E61" s="6">
        <v>4.1723500251769998</v>
      </c>
      <c r="F61" s="6">
        <v>44.644555961068903</v>
      </c>
      <c r="G61" s="6">
        <v>10.5249984162195</v>
      </c>
      <c r="H61" s="6">
        <v>-30.6459513164702</v>
      </c>
    </row>
    <row r="62" spans="1:8" ht="15" customHeight="1" x14ac:dyDescent="0.25">
      <c r="A62" s="8" t="s">
        <v>103</v>
      </c>
      <c r="B62" s="5">
        <v>64.993477862814203</v>
      </c>
      <c r="C62" s="5"/>
      <c r="D62" s="9">
        <v>1224.26999830163</v>
      </c>
      <c r="E62" s="6">
        <v>4.2551738904870096</v>
      </c>
      <c r="F62" s="6">
        <v>44.8043941350005</v>
      </c>
      <c r="G62" s="6">
        <v>12.428198862623301</v>
      </c>
      <c r="H62" s="6">
        <v>-1.4098848749997099</v>
      </c>
    </row>
    <row r="63" spans="1:8" ht="15" customHeight="1" x14ac:dyDescent="0.25">
      <c r="A63" s="8" t="s">
        <v>104</v>
      </c>
      <c r="B63" s="5">
        <v>65.552381243024598</v>
      </c>
      <c r="C63" s="5"/>
      <c r="D63" s="9">
        <v>1225.9147716703901</v>
      </c>
      <c r="E63" s="6">
        <v>4.1931429363432402</v>
      </c>
      <c r="F63" s="6">
        <v>42.698691042683201</v>
      </c>
      <c r="G63" s="6">
        <v>9.6862136884879195</v>
      </c>
      <c r="H63" s="6">
        <v>7.8428654443650103</v>
      </c>
    </row>
    <row r="64" spans="1:8" ht="15" customHeight="1" x14ac:dyDescent="0.25">
      <c r="A64" s="8" t="s">
        <v>105</v>
      </c>
      <c r="B64" s="5">
        <v>62.268571762811597</v>
      </c>
      <c r="C64" s="5"/>
      <c r="D64" s="9">
        <v>1191.9642857142901</v>
      </c>
      <c r="E64" s="6">
        <v>4.4575999975204503</v>
      </c>
      <c r="F64" s="6">
        <v>17.280287674372399</v>
      </c>
      <c r="G64" s="6">
        <v>6.6092743424315001</v>
      </c>
      <c r="H64" s="6">
        <v>37.479051521846301</v>
      </c>
    </row>
    <row r="65" spans="1:8" ht="15" customHeight="1" x14ac:dyDescent="0.25">
      <c r="A65" s="8" t="s">
        <v>106</v>
      </c>
      <c r="B65" s="5">
        <v>58.3424999237061</v>
      </c>
      <c r="C65" s="5"/>
      <c r="D65" s="9">
        <v>1237.3685651506701</v>
      </c>
      <c r="E65" s="6">
        <v>4.5339500665664696</v>
      </c>
      <c r="F65" s="6">
        <v>20.354612648182801</v>
      </c>
      <c r="G65" s="6">
        <v>5.8541141792629396</v>
      </c>
      <c r="H65" s="6">
        <v>34.580722195761503</v>
      </c>
    </row>
    <row r="66" spans="1:8" ht="15" customHeight="1" x14ac:dyDescent="0.25">
      <c r="A66" s="8" t="s">
        <v>107</v>
      </c>
      <c r="B66" s="5">
        <v>59.447142828078498</v>
      </c>
      <c r="C66" s="5"/>
      <c r="D66" s="9">
        <v>1262.0719110398099</v>
      </c>
      <c r="E66" s="6">
        <v>4.4649523780459504</v>
      </c>
      <c r="F66" s="6">
        <v>37.430371475245899</v>
      </c>
      <c r="G66" s="6">
        <v>5.2419834818922197</v>
      </c>
      <c r="H66" s="6">
        <v>24.313421270031998</v>
      </c>
    </row>
    <row r="67" spans="1:8" ht="15" customHeight="1" x14ac:dyDescent="0.25">
      <c r="A67" s="8" t="s">
        <v>108</v>
      </c>
      <c r="B67" s="5">
        <v>65.537499427795396</v>
      </c>
      <c r="C67" s="5"/>
      <c r="D67" s="9">
        <v>1278.72249755859</v>
      </c>
      <c r="E67" s="6">
        <v>4.4105999708175698</v>
      </c>
      <c r="F67" s="6">
        <v>39.883459966846303</v>
      </c>
      <c r="G67" s="6">
        <v>8.2371629712266703</v>
      </c>
      <c r="H67" s="6">
        <v>20.220000743865999</v>
      </c>
    </row>
    <row r="68" spans="1:8" ht="15" customHeight="1" x14ac:dyDescent="0.25">
      <c r="A68" s="8" t="s">
        <v>109</v>
      </c>
      <c r="B68" s="5">
        <v>61.928421020507798</v>
      </c>
      <c r="C68" s="5"/>
      <c r="D68" s="9">
        <v>1276.6452765213801</v>
      </c>
      <c r="E68" s="6">
        <v>4.5678420819734296</v>
      </c>
      <c r="F68" s="6">
        <v>28.874821356716101</v>
      </c>
      <c r="G68" s="6">
        <v>6.4201991651446004</v>
      </c>
      <c r="H68" s="6">
        <v>41.073679924011202</v>
      </c>
    </row>
    <row r="69" spans="1:8" ht="15" customHeight="1" x14ac:dyDescent="0.25">
      <c r="A69" s="8" t="s">
        <v>110</v>
      </c>
      <c r="B69" s="5">
        <v>62.966087009595803</v>
      </c>
      <c r="C69" s="5"/>
      <c r="D69" s="9">
        <v>1293.7347783627699</v>
      </c>
      <c r="E69" s="6">
        <v>4.7223043856413502</v>
      </c>
      <c r="F69" s="6">
        <v>15.260133258976801</v>
      </c>
      <c r="G69" s="6">
        <v>8.2715908511796599</v>
      </c>
      <c r="H69" s="6">
        <v>23.1849841920755</v>
      </c>
    </row>
    <row r="70" spans="1:8" ht="15" customHeight="1" x14ac:dyDescent="0.25">
      <c r="A70" s="8" t="s">
        <v>111</v>
      </c>
      <c r="B70" s="5">
        <v>70.161052503083894</v>
      </c>
      <c r="C70" s="5"/>
      <c r="D70" s="9">
        <v>1302.1652703536199</v>
      </c>
      <c r="E70" s="6">
        <v>4.9853684274773897</v>
      </c>
      <c r="F70" s="6">
        <v>31.838014436489701</v>
      </c>
      <c r="G70" s="6">
        <v>11.8287866582204</v>
      </c>
      <c r="H70" s="6">
        <v>65.532077464244793</v>
      </c>
    </row>
    <row r="71" spans="1:8" ht="15" customHeight="1" x14ac:dyDescent="0.25">
      <c r="A71" s="8" t="s">
        <v>112</v>
      </c>
      <c r="B71" s="5">
        <v>70.961363705721794</v>
      </c>
      <c r="C71" s="5"/>
      <c r="D71" s="9">
        <v>1290.0136274858</v>
      </c>
      <c r="E71" s="6">
        <v>5.1069090583107704</v>
      </c>
      <c r="F71" s="6">
        <v>42.289971963192301</v>
      </c>
      <c r="G71" s="6">
        <v>9.4831718763974493</v>
      </c>
      <c r="H71" s="6">
        <v>96.952814044374406</v>
      </c>
    </row>
    <row r="72" spans="1:8" ht="15" customHeight="1" x14ac:dyDescent="0.25">
      <c r="A72" s="8" t="s">
        <v>113</v>
      </c>
      <c r="B72" s="5">
        <v>70.971818056973603</v>
      </c>
      <c r="C72" s="5"/>
      <c r="D72" s="9">
        <v>1253.1681795987199</v>
      </c>
      <c r="E72" s="6">
        <v>5.1032727198167303</v>
      </c>
      <c r="F72" s="6">
        <v>25.792963256548099</v>
      </c>
      <c r="G72" s="6">
        <v>4.2349658676392297</v>
      </c>
      <c r="H72" s="6">
        <v>110.936363176866</v>
      </c>
    </row>
    <row r="73" spans="1:8" ht="15" customHeight="1" x14ac:dyDescent="0.25">
      <c r="A73" s="8" t="s">
        <v>114</v>
      </c>
      <c r="B73" s="5">
        <v>74.463158456902804</v>
      </c>
      <c r="C73" s="5"/>
      <c r="D73" s="9">
        <v>1260.23450317383</v>
      </c>
      <c r="E73" s="6">
        <v>5.0824499845504798</v>
      </c>
      <c r="F73" s="6">
        <v>26.153150592360401</v>
      </c>
      <c r="G73" s="6">
        <v>3.10884907569395</v>
      </c>
      <c r="H73" s="6">
        <v>91.009995937347497</v>
      </c>
    </row>
    <row r="74" spans="1:8" ht="15" customHeight="1" x14ac:dyDescent="0.25">
      <c r="A74" s="8" t="s">
        <v>115</v>
      </c>
      <c r="B74" s="5">
        <v>73.083478181258499</v>
      </c>
      <c r="C74" s="5"/>
      <c r="D74" s="9">
        <v>1287.1495679772399</v>
      </c>
      <c r="E74" s="6">
        <v>4.8736521264781096</v>
      </c>
      <c r="F74" s="6">
        <v>12.447403315637899</v>
      </c>
      <c r="G74" s="6">
        <v>5.1360867915444297</v>
      </c>
      <c r="H74" s="6">
        <v>61.847823599110498</v>
      </c>
    </row>
    <row r="75" spans="1:8" ht="15" customHeight="1" x14ac:dyDescent="0.25">
      <c r="A75" s="8" t="s">
        <v>116</v>
      </c>
      <c r="B75" s="5">
        <v>64.091428302583196</v>
      </c>
      <c r="C75" s="5"/>
      <c r="D75" s="9">
        <v>1317.7430114746101</v>
      </c>
      <c r="E75" s="6">
        <v>4.7157999515533504</v>
      </c>
      <c r="F75" s="6">
        <v>-2.2286801985500402</v>
      </c>
      <c r="G75" s="6">
        <v>7.4905892257991704</v>
      </c>
      <c r="H75" s="6">
        <v>52.265701521010698</v>
      </c>
    </row>
    <row r="76" spans="1:8" ht="15" customHeight="1" x14ac:dyDescent="0.25">
      <c r="A76" s="8" t="s">
        <v>117</v>
      </c>
      <c r="B76" s="5">
        <v>59.136818105524199</v>
      </c>
      <c r="C76" s="5"/>
      <c r="D76" s="9">
        <v>1363.3772638494299</v>
      </c>
      <c r="E76" s="6">
        <v>4.7246190479823502</v>
      </c>
      <c r="F76" s="6">
        <v>-5.0294290821645298</v>
      </c>
      <c r="G76" s="6">
        <v>14.380714270514099</v>
      </c>
      <c r="H76" s="6">
        <v>26.7019050461905</v>
      </c>
    </row>
    <row r="77" spans="1:8" ht="15" customHeight="1" x14ac:dyDescent="0.25">
      <c r="A77" s="8" t="s">
        <v>118</v>
      </c>
      <c r="B77" s="5">
        <v>59.403000068664603</v>
      </c>
      <c r="C77" s="5"/>
      <c r="D77" s="9">
        <v>1388.6347539992601</v>
      </c>
      <c r="E77" s="6">
        <v>4.5931904429481198</v>
      </c>
      <c r="F77" s="6">
        <v>1.81771461001037</v>
      </c>
      <c r="G77" s="6">
        <v>12.2248288108214</v>
      </c>
      <c r="H77" s="6">
        <v>5.9240376381647604</v>
      </c>
    </row>
    <row r="78" spans="1:8" ht="15" customHeight="1" x14ac:dyDescent="0.25">
      <c r="A78" s="8" t="s">
        <v>119</v>
      </c>
      <c r="B78" s="5">
        <v>62.086499786376997</v>
      </c>
      <c r="C78" s="5"/>
      <c r="D78" s="9">
        <v>1416.42000732422</v>
      </c>
      <c r="E78" s="6">
        <v>4.5603499889373804</v>
      </c>
      <c r="F78" s="6">
        <v>4.4398382037156701</v>
      </c>
      <c r="G78" s="6">
        <v>12.229738649142901</v>
      </c>
      <c r="H78" s="6">
        <v>9.5397610891432691</v>
      </c>
    </row>
    <row r="79" spans="1:8" ht="15" customHeight="1" x14ac:dyDescent="0.25">
      <c r="A79" s="8" t="s">
        <v>120</v>
      </c>
      <c r="B79" s="5">
        <v>54.672381083170599</v>
      </c>
      <c r="C79" s="5"/>
      <c r="D79" s="9">
        <v>1424.1609863281301</v>
      </c>
      <c r="E79" s="6">
        <v>4.7604000091552701</v>
      </c>
      <c r="F79" s="6">
        <v>-16.578475589529098</v>
      </c>
      <c r="G79" s="6">
        <v>11.3737334759661</v>
      </c>
      <c r="H79" s="6">
        <v>34.980003833770702</v>
      </c>
    </row>
    <row r="80" spans="1:8" ht="15" customHeight="1" x14ac:dyDescent="0.25">
      <c r="A80" s="8" t="s">
        <v>121</v>
      </c>
      <c r="B80" s="5">
        <v>59.387894881399099</v>
      </c>
      <c r="C80" s="5"/>
      <c r="D80" s="9">
        <v>1444.7947484066599</v>
      </c>
      <c r="E80" s="6">
        <v>4.7217894604331603</v>
      </c>
      <c r="F80" s="6">
        <v>-4.1023589770962401</v>
      </c>
      <c r="G80" s="6">
        <v>13.1711975893143</v>
      </c>
      <c r="H80" s="6">
        <v>15.394737845972999</v>
      </c>
    </row>
    <row r="81" spans="1:8" ht="15" customHeight="1" x14ac:dyDescent="0.25">
      <c r="A81" s="8" t="s">
        <v>122</v>
      </c>
      <c r="B81" s="5">
        <v>60.740454413674101</v>
      </c>
      <c r="C81" s="5"/>
      <c r="D81" s="9">
        <v>1406.9518210671199</v>
      </c>
      <c r="E81" s="6">
        <v>4.5590908960862597</v>
      </c>
      <c r="F81" s="6">
        <v>-3.5346528609638899</v>
      </c>
      <c r="G81" s="6">
        <v>8.7511787267264598</v>
      </c>
      <c r="H81" s="6">
        <v>-16.3213489555087</v>
      </c>
    </row>
    <row r="82" spans="1:8" ht="15" customHeight="1" x14ac:dyDescent="0.25">
      <c r="A82" s="8" t="s">
        <v>123</v>
      </c>
      <c r="B82" s="5">
        <v>64.035999488830598</v>
      </c>
      <c r="C82" s="5"/>
      <c r="D82" s="9">
        <v>1463.64050292969</v>
      </c>
      <c r="E82" s="6">
        <v>4.6843500137329102</v>
      </c>
      <c r="F82" s="6">
        <v>-8.7299902092889603</v>
      </c>
      <c r="G82" s="6">
        <v>12.400517526643799</v>
      </c>
      <c r="H82" s="6">
        <v>-30.101841374447499</v>
      </c>
    </row>
    <row r="83" spans="1:8" ht="15" customHeight="1" x14ac:dyDescent="0.25">
      <c r="A83" s="8" t="s">
        <v>124</v>
      </c>
      <c r="B83" s="5">
        <v>63.530908931385397</v>
      </c>
      <c r="C83" s="5"/>
      <c r="D83" s="9">
        <v>1511.13681307706</v>
      </c>
      <c r="E83" s="6">
        <v>4.7442727088928196</v>
      </c>
      <c r="F83" s="6">
        <v>-10.4711273660842</v>
      </c>
      <c r="G83" s="6">
        <v>17.141151138242499</v>
      </c>
      <c r="H83" s="6">
        <v>-36.263634941794599</v>
      </c>
    </row>
    <row r="84" spans="1:8" ht="15" customHeight="1" x14ac:dyDescent="0.25">
      <c r="A84" s="8" t="s">
        <v>125</v>
      </c>
      <c r="B84" s="5">
        <v>67.529523940313396</v>
      </c>
      <c r="C84" s="5"/>
      <c r="D84" s="9">
        <v>1514.48951939174</v>
      </c>
      <c r="E84" s="6">
        <v>5.0987142835344601</v>
      </c>
      <c r="F84" s="6">
        <v>-4.8502267673300699</v>
      </c>
      <c r="G84" s="6">
        <v>20.852854712341799</v>
      </c>
      <c r="H84" s="6">
        <v>-0.45584362822701502</v>
      </c>
    </row>
    <row r="85" spans="1:8" ht="15" customHeight="1" x14ac:dyDescent="0.25">
      <c r="A85" s="8" t="s">
        <v>126</v>
      </c>
      <c r="B85" s="5">
        <v>74.150475274948903</v>
      </c>
      <c r="C85" s="5">
        <v>76.3950004577637</v>
      </c>
      <c r="D85" s="9">
        <v>1520.70475841704</v>
      </c>
      <c r="E85" s="6">
        <v>4.9977142924354201</v>
      </c>
      <c r="F85" s="6">
        <v>-0.41991662512528299</v>
      </c>
      <c r="G85" s="6">
        <v>20.668395809448999</v>
      </c>
      <c r="H85" s="6">
        <v>-8.4735692115057102</v>
      </c>
    </row>
    <row r="86" spans="1:8" ht="15" customHeight="1" x14ac:dyDescent="0.25">
      <c r="A86" s="8" t="s">
        <v>127</v>
      </c>
      <c r="B86" s="5">
        <v>72.358696315599502</v>
      </c>
      <c r="C86" s="5">
        <v>71.258695851201594</v>
      </c>
      <c r="D86" s="9">
        <v>1454.61695928159</v>
      </c>
      <c r="E86" s="6">
        <v>4.6701738730720903</v>
      </c>
      <c r="F86" s="6">
        <v>-0.99171780503026796</v>
      </c>
      <c r="G86" s="6">
        <v>13.010717283425199</v>
      </c>
      <c r="H86" s="6">
        <v>-20.3478253406027</v>
      </c>
    </row>
    <row r="87" spans="1:8" ht="15" customHeight="1" x14ac:dyDescent="0.25">
      <c r="A87" s="8" t="s">
        <v>128</v>
      </c>
      <c r="B87" s="5">
        <v>79.626316271330197</v>
      </c>
      <c r="C87" s="5">
        <v>77.135263141832894</v>
      </c>
      <c r="D87" s="9">
        <v>1497.1163265830601</v>
      </c>
      <c r="E87" s="6">
        <v>4.5119473306756301</v>
      </c>
      <c r="F87" s="6">
        <v>24.238635930229101</v>
      </c>
      <c r="G87" s="6">
        <v>13.6121621246713</v>
      </c>
      <c r="H87" s="6">
        <v>-20.3852620877718</v>
      </c>
    </row>
    <row r="88" spans="1:8" ht="15" customHeight="1" x14ac:dyDescent="0.25">
      <c r="A88" s="8" t="s">
        <v>129</v>
      </c>
      <c r="B88" s="5">
        <v>85.658260843028202</v>
      </c>
      <c r="C88" s="5">
        <v>82.456956614618704</v>
      </c>
      <c r="D88" s="9">
        <v>1539.65869140625</v>
      </c>
      <c r="E88" s="6">
        <v>4.5201304062553103</v>
      </c>
      <c r="F88" s="6">
        <v>44.847598479476602</v>
      </c>
      <c r="G88" s="6">
        <v>12.929761426349099</v>
      </c>
      <c r="H88" s="6">
        <v>-20.4488641727044</v>
      </c>
    </row>
    <row r="89" spans="1:8" ht="15" customHeight="1" x14ac:dyDescent="0.25">
      <c r="A89" s="8" t="s">
        <v>130</v>
      </c>
      <c r="B89" s="5">
        <v>94.631428309849298</v>
      </c>
      <c r="C89" s="5">
        <v>92.060952686128203</v>
      </c>
      <c r="D89" s="9">
        <v>1463.38523646763</v>
      </c>
      <c r="E89" s="6">
        <v>4.1476666473207002</v>
      </c>
      <c r="F89" s="6">
        <v>59.304123024870599</v>
      </c>
      <c r="G89" s="6">
        <v>5.3830197071690096</v>
      </c>
      <c r="H89" s="6">
        <v>-44.552379562741301</v>
      </c>
    </row>
    <row r="90" spans="1:8" ht="15" customHeight="1" x14ac:dyDescent="0.25">
      <c r="A90" s="8" t="s">
        <v>131</v>
      </c>
      <c r="B90" s="5">
        <v>91.742499160766599</v>
      </c>
      <c r="C90" s="5">
        <v>91.393999862670896</v>
      </c>
      <c r="D90" s="9">
        <v>1479.2234985351599</v>
      </c>
      <c r="E90" s="6">
        <v>4.0915000081062303</v>
      </c>
      <c r="F90" s="6">
        <v>47.765616480922603</v>
      </c>
      <c r="G90" s="6">
        <v>4.4339596225826199</v>
      </c>
      <c r="H90" s="6">
        <v>-46.884998083114603</v>
      </c>
    </row>
    <row r="91" spans="1:8" ht="15" customHeight="1" x14ac:dyDescent="0.25">
      <c r="A91" s="8" t="s">
        <v>132</v>
      </c>
      <c r="B91" s="5">
        <v>92.929047357468406</v>
      </c>
      <c r="C91" s="5">
        <v>92.112380981445298</v>
      </c>
      <c r="D91" s="9">
        <v>1378.7638055710599</v>
      </c>
      <c r="E91" s="6">
        <v>3.7174761976514499</v>
      </c>
      <c r="F91" s="6">
        <v>69.974392035532006</v>
      </c>
      <c r="G91" s="6">
        <v>-3.1876438965032201</v>
      </c>
      <c r="H91" s="6">
        <v>-104.292381150382</v>
      </c>
    </row>
    <row r="92" spans="1:8" ht="15" customHeight="1" x14ac:dyDescent="0.25">
      <c r="A92" s="8" t="s">
        <v>133</v>
      </c>
      <c r="B92" s="5">
        <v>95.3489990234375</v>
      </c>
      <c r="C92" s="5">
        <v>94.652500152587905</v>
      </c>
      <c r="D92" s="9">
        <v>1354.87250976563</v>
      </c>
      <c r="E92" s="6">
        <v>3.7324999690055898</v>
      </c>
      <c r="F92" s="6">
        <v>60.5529194356102</v>
      </c>
      <c r="G92" s="6">
        <v>-6.2238763492325599</v>
      </c>
      <c r="H92" s="6">
        <v>-98.928949142757205</v>
      </c>
    </row>
    <row r="93" spans="1:8" ht="15" customHeight="1" x14ac:dyDescent="0.25">
      <c r="A93" s="8" t="s">
        <v>134</v>
      </c>
      <c r="B93" s="5">
        <v>105.420000076294</v>
      </c>
      <c r="C93" s="5">
        <v>102.79899940490699</v>
      </c>
      <c r="D93" s="9">
        <v>1316.94299316406</v>
      </c>
      <c r="E93" s="6">
        <v>3.49179998636246</v>
      </c>
      <c r="F93" s="6">
        <v>73.558135338153505</v>
      </c>
      <c r="G93" s="6">
        <v>-6.3974349764717502</v>
      </c>
      <c r="H93" s="6">
        <v>-106.72909097238001</v>
      </c>
    </row>
    <row r="94" spans="1:8" ht="15" customHeight="1" x14ac:dyDescent="0.25">
      <c r="A94" s="8" t="s">
        <v>135</v>
      </c>
      <c r="B94" s="5">
        <v>112.46272798018001</v>
      </c>
      <c r="C94" s="5">
        <v>110.441817196933</v>
      </c>
      <c r="D94" s="9">
        <v>1370.46909401634</v>
      </c>
      <c r="E94" s="6">
        <v>3.6499091061678799</v>
      </c>
      <c r="F94" s="6">
        <v>75.624225245045906</v>
      </c>
      <c r="G94" s="6">
        <v>-6.3657304322240504</v>
      </c>
      <c r="H94" s="6">
        <v>-103.444090756503</v>
      </c>
    </row>
    <row r="95" spans="1:8" ht="15" customHeight="1" x14ac:dyDescent="0.25">
      <c r="A95" s="8" t="s">
        <v>136</v>
      </c>
      <c r="B95" s="5">
        <v>125.458572387695</v>
      </c>
      <c r="C95" s="5">
        <v>124.38095092773401</v>
      </c>
      <c r="D95" s="9">
        <v>1403.2176164899599</v>
      </c>
      <c r="E95" s="6">
        <v>3.8728571392241</v>
      </c>
      <c r="F95" s="6">
        <v>97.476432334996204</v>
      </c>
      <c r="G95" s="6">
        <v>-7.14159007001843</v>
      </c>
      <c r="H95" s="6">
        <v>-87.1415569668724</v>
      </c>
    </row>
    <row r="96" spans="1:8" ht="15" customHeight="1" x14ac:dyDescent="0.25">
      <c r="A96" s="8" t="s">
        <v>137</v>
      </c>
      <c r="B96" s="5">
        <v>134.01571437290701</v>
      </c>
      <c r="C96" s="5">
        <v>133.78476388113799</v>
      </c>
      <c r="D96" s="9">
        <v>1341.2509649367601</v>
      </c>
      <c r="E96" s="6">
        <v>4.0834285645257902</v>
      </c>
      <c r="F96" s="6">
        <v>98.454996501024297</v>
      </c>
      <c r="G96" s="6">
        <v>-11.438742377336601</v>
      </c>
      <c r="H96" s="6">
        <v>-101.52857190086699</v>
      </c>
    </row>
    <row r="97" spans="1:8" ht="15" customHeight="1" x14ac:dyDescent="0.25">
      <c r="A97" s="8" t="s">
        <v>138</v>
      </c>
      <c r="B97" s="5">
        <v>133.484544927424</v>
      </c>
      <c r="C97" s="5">
        <v>134.099545218728</v>
      </c>
      <c r="D97" s="9">
        <v>1257.32636607777</v>
      </c>
      <c r="E97" s="6">
        <v>3.9829091267152301</v>
      </c>
      <c r="F97" s="6">
        <v>80.018461692207595</v>
      </c>
      <c r="G97" s="6">
        <v>-17.3194955090053</v>
      </c>
      <c r="H97" s="6">
        <v>-101.480516572019</v>
      </c>
    </row>
    <row r="98" spans="1:8" ht="15" customHeight="1" x14ac:dyDescent="0.25">
      <c r="A98" s="8" t="s">
        <v>139</v>
      </c>
      <c r="B98" s="5">
        <v>116.688094729469</v>
      </c>
      <c r="C98" s="5">
        <v>115.285714649019</v>
      </c>
      <c r="D98" s="9">
        <v>1281.4723656064</v>
      </c>
      <c r="E98" s="6">
        <v>3.8851428372519399</v>
      </c>
      <c r="F98" s="6">
        <v>61.263401181970401</v>
      </c>
      <c r="G98" s="6">
        <v>-11.9031056643739</v>
      </c>
      <c r="H98" s="6">
        <v>-78.503103582014901</v>
      </c>
    </row>
    <row r="99" spans="1:8" ht="15" customHeight="1" x14ac:dyDescent="0.25">
      <c r="A99" s="8" t="s">
        <v>140</v>
      </c>
      <c r="B99" s="5">
        <v>103.76380993071101</v>
      </c>
      <c r="C99" s="5">
        <v>100.462856837681</v>
      </c>
      <c r="D99" s="9">
        <v>1217.0228562128</v>
      </c>
      <c r="E99" s="6">
        <v>3.6750476133255701</v>
      </c>
      <c r="F99" s="6">
        <v>30.313462671223899</v>
      </c>
      <c r="G99" s="6">
        <v>-18.7088648621936</v>
      </c>
      <c r="H99" s="6">
        <v>-83.6899717350054</v>
      </c>
    </row>
    <row r="100" spans="1:8" ht="15" customHeight="1" x14ac:dyDescent="0.25">
      <c r="A100" s="8" t="s">
        <v>141</v>
      </c>
      <c r="B100" s="5">
        <v>76.723911948826</v>
      </c>
      <c r="C100" s="5">
        <v>74.019090825861198</v>
      </c>
      <c r="D100" s="9">
        <v>968.80087412958596</v>
      </c>
      <c r="E100" s="6">
        <v>3.7799565273782498</v>
      </c>
      <c r="F100" s="6">
        <v>-10.4302244830475</v>
      </c>
      <c r="G100" s="6">
        <v>-37.0769067497206</v>
      </c>
      <c r="H100" s="6">
        <v>-74.017387887705993</v>
      </c>
    </row>
    <row r="101" spans="1:8" ht="15" customHeight="1" x14ac:dyDescent="0.25">
      <c r="A101" s="8" t="s">
        <v>142</v>
      </c>
      <c r="B101" s="5">
        <v>57.441052888569097</v>
      </c>
      <c r="C101" s="5">
        <v>54.988889058430999</v>
      </c>
      <c r="D101" s="9">
        <v>883.04052734375</v>
      </c>
      <c r="E101" s="6">
        <v>3.5215263366699201</v>
      </c>
      <c r="F101" s="6">
        <v>-39.300236808757397</v>
      </c>
      <c r="G101" s="6">
        <v>-39.6576851167871</v>
      </c>
      <c r="H101" s="6">
        <v>-62.614031065078002</v>
      </c>
    </row>
    <row r="102" spans="1:8" ht="15" customHeight="1" x14ac:dyDescent="0.25">
      <c r="A102" s="8" t="s">
        <v>143</v>
      </c>
      <c r="B102" s="5">
        <v>42.042272220958402</v>
      </c>
      <c r="C102" s="5">
        <v>42.980476016090002</v>
      </c>
      <c r="D102" s="9">
        <v>877.56181751598001</v>
      </c>
      <c r="E102" s="6">
        <v>2.4080454544587599</v>
      </c>
      <c r="F102" s="6">
        <v>-54.173613531843301</v>
      </c>
      <c r="G102" s="6">
        <v>-40.674156516239002</v>
      </c>
      <c r="H102" s="6">
        <v>-168.34545536474801</v>
      </c>
    </row>
    <row r="103" spans="1:8" ht="15" customHeight="1" x14ac:dyDescent="0.25">
      <c r="A103" s="8" t="s">
        <v>144</v>
      </c>
      <c r="B103" s="5">
        <v>41.923500251770001</v>
      </c>
      <c r="C103" s="5">
        <v>45.824736745734</v>
      </c>
      <c r="D103" s="9">
        <v>865.57550048828102</v>
      </c>
      <c r="E103" s="6">
        <v>2.4821499943733198</v>
      </c>
      <c r="F103" s="6">
        <v>-54.886548992045803</v>
      </c>
      <c r="G103" s="6">
        <v>-37.220900563909296</v>
      </c>
      <c r="H103" s="6">
        <v>-123.53262032781301</v>
      </c>
    </row>
    <row r="104" spans="1:8" ht="15" customHeight="1" x14ac:dyDescent="0.25">
      <c r="A104" s="8" t="s">
        <v>145</v>
      </c>
      <c r="B104" s="5">
        <v>39.258420442279998</v>
      </c>
      <c r="C104" s="5">
        <v>44.552222145928297</v>
      </c>
      <c r="D104" s="9">
        <v>805.22736880653804</v>
      </c>
      <c r="E104" s="6">
        <v>2.85042105223003</v>
      </c>
      <c r="F104" s="6">
        <v>-58.826604532439802</v>
      </c>
      <c r="G104" s="6">
        <v>-40.568034039908902</v>
      </c>
      <c r="H104" s="6">
        <v>-88.207891677555295</v>
      </c>
    </row>
    <row r="105" spans="1:8" ht="15" customHeight="1" x14ac:dyDescent="0.25">
      <c r="A105" s="8" t="s">
        <v>146</v>
      </c>
      <c r="B105" s="5">
        <v>48.061818382956801</v>
      </c>
      <c r="C105" s="5">
        <v>48.008636474609403</v>
      </c>
      <c r="D105" s="9">
        <v>757.12681440873598</v>
      </c>
      <c r="E105" s="6">
        <v>2.80745453184301</v>
      </c>
      <c r="F105" s="6">
        <v>-54.409202856978098</v>
      </c>
      <c r="G105" s="6">
        <v>-42.5087632237082</v>
      </c>
      <c r="H105" s="6">
        <v>-68.434545451944501</v>
      </c>
    </row>
    <row r="106" spans="1:8" ht="15" customHeight="1" x14ac:dyDescent="0.25">
      <c r="A106" s="8" t="s">
        <v>147</v>
      </c>
      <c r="B106" s="5">
        <v>49.949523562476799</v>
      </c>
      <c r="C106" s="5">
        <v>51.985555860731303</v>
      </c>
      <c r="D106" s="9">
        <v>848.15189906528997</v>
      </c>
      <c r="E106" s="6">
        <v>2.8982381025950099</v>
      </c>
      <c r="F106" s="6">
        <v>-55.585708741406698</v>
      </c>
      <c r="G106" s="6">
        <v>-38.112292880704601</v>
      </c>
      <c r="H106" s="6">
        <v>-75.167100357286898</v>
      </c>
    </row>
    <row r="107" spans="1:8" ht="15" customHeight="1" x14ac:dyDescent="0.25">
      <c r="A107" s="8" t="s">
        <v>148</v>
      </c>
      <c r="B107" s="5">
        <v>59.212499999999999</v>
      </c>
      <c r="C107" s="5">
        <v>58.599473451313202</v>
      </c>
      <c r="D107" s="9">
        <v>902.40850219726599</v>
      </c>
      <c r="E107" s="6">
        <v>3.2849999904632599</v>
      </c>
      <c r="F107" s="6">
        <v>-52.803145394465403</v>
      </c>
      <c r="G107" s="6">
        <v>-35.690053232472003</v>
      </c>
      <c r="H107" s="6">
        <v>-58.7857148760841</v>
      </c>
    </row>
    <row r="108" spans="1:8" ht="15" customHeight="1" x14ac:dyDescent="0.25">
      <c r="A108" s="8" t="s">
        <v>149</v>
      </c>
      <c r="B108" s="5">
        <v>69.695455377752097</v>
      </c>
      <c r="C108" s="5">
        <v>69.270909049294204</v>
      </c>
      <c r="D108" s="9">
        <v>926.11500133167601</v>
      </c>
      <c r="E108" s="6">
        <v>3.7074091326106702</v>
      </c>
      <c r="F108" s="6">
        <v>-47.994564888248803</v>
      </c>
      <c r="G108" s="6">
        <v>-30.951400927764102</v>
      </c>
      <c r="H108" s="6">
        <v>-37.601943191511801</v>
      </c>
    </row>
    <row r="109" spans="1:8" ht="15" customHeight="1" x14ac:dyDescent="0.25">
      <c r="A109" s="8" t="s">
        <v>150</v>
      </c>
      <c r="B109" s="5">
        <v>64.293182373046903</v>
      </c>
      <c r="C109" s="5">
        <v>65.900476001557905</v>
      </c>
      <c r="D109" s="9">
        <v>935.82136396928297</v>
      </c>
      <c r="E109" s="6">
        <v>3.5364090962843502</v>
      </c>
      <c r="F109" s="6">
        <v>-51.834736816907601</v>
      </c>
      <c r="G109" s="6">
        <v>-25.570528924118801</v>
      </c>
      <c r="H109" s="6">
        <v>-44.650003043087999</v>
      </c>
    </row>
    <row r="110" spans="1:8" ht="15" customHeight="1" x14ac:dyDescent="0.25">
      <c r="A110" s="8" t="s">
        <v>151</v>
      </c>
      <c r="B110" s="5">
        <v>71.138571602957597</v>
      </c>
      <c r="C110" s="5">
        <v>73.057143801734597</v>
      </c>
      <c r="D110" s="9">
        <v>1009.7247576032401</v>
      </c>
      <c r="E110" s="6">
        <v>3.57919046992347</v>
      </c>
      <c r="F110" s="6">
        <v>-39.035278819243601</v>
      </c>
      <c r="G110" s="6">
        <v>-21.205889045806298</v>
      </c>
      <c r="H110" s="6">
        <v>-30.5952367328462</v>
      </c>
    </row>
    <row r="111" spans="1:8" ht="15" customHeight="1" x14ac:dyDescent="0.25">
      <c r="A111" s="8" t="s">
        <v>152</v>
      </c>
      <c r="B111" s="5">
        <v>69.468095325288303</v>
      </c>
      <c r="C111" s="5">
        <v>68.267500686645505</v>
      </c>
      <c r="D111" s="9">
        <v>1044.5523826962401</v>
      </c>
      <c r="E111" s="6">
        <v>3.3926666691189702</v>
      </c>
      <c r="F111" s="6">
        <v>-33.0517110236446</v>
      </c>
      <c r="G111" s="6">
        <v>-14.1715065280909</v>
      </c>
      <c r="H111" s="6">
        <v>-28.238094420660101</v>
      </c>
    </row>
    <row r="112" spans="1:8" ht="15" customHeight="1" x14ac:dyDescent="0.25">
      <c r="A112" s="8" t="s">
        <v>153</v>
      </c>
      <c r="B112" s="5">
        <v>75.823636488481</v>
      </c>
      <c r="C112" s="5">
        <v>73.909047081357002</v>
      </c>
      <c r="D112" s="9">
        <v>1067.6636297052601</v>
      </c>
      <c r="E112" s="6">
        <v>3.3664545362645901</v>
      </c>
      <c r="F112" s="6">
        <v>-1.1733961909365</v>
      </c>
      <c r="G112" s="6">
        <v>10.2046517726868</v>
      </c>
      <c r="H112" s="6">
        <v>-41.350199111365498</v>
      </c>
    </row>
    <row r="113" spans="1:8" ht="15" customHeight="1" x14ac:dyDescent="0.25">
      <c r="A113" s="8" t="s">
        <v>154</v>
      </c>
      <c r="B113" s="5">
        <v>78.145000076293897</v>
      </c>
      <c r="C113" s="5">
        <v>77.612499999999997</v>
      </c>
      <c r="D113" s="9">
        <v>1088.06900634766</v>
      </c>
      <c r="E113" s="6">
        <v>3.3953500032424899</v>
      </c>
      <c r="F113" s="6">
        <v>36.043815610220101</v>
      </c>
      <c r="G113" s="6">
        <v>23.218467630318901</v>
      </c>
      <c r="H113" s="6">
        <v>-12.6176333427429</v>
      </c>
    </row>
    <row r="114" spans="1:8" ht="15" customHeight="1" x14ac:dyDescent="0.25">
      <c r="A114" s="8" t="s">
        <v>155</v>
      </c>
      <c r="B114" s="5">
        <v>74.603182705965907</v>
      </c>
      <c r="C114" s="5">
        <v>75.209090492942096</v>
      </c>
      <c r="D114" s="9">
        <v>1110.3777243874299</v>
      </c>
      <c r="E114" s="6">
        <v>3.58104544336146</v>
      </c>
      <c r="F114" s="6">
        <v>77.448027342289393</v>
      </c>
      <c r="G114" s="6">
        <v>26.529858321600202</v>
      </c>
      <c r="H114" s="6">
        <v>117.29999889027</v>
      </c>
    </row>
    <row r="115" spans="1:8" ht="15" customHeight="1" x14ac:dyDescent="0.25">
      <c r="A115" s="8" t="s">
        <v>156</v>
      </c>
      <c r="B115" s="5">
        <v>78.402631659256798</v>
      </c>
      <c r="C115" s="5">
        <v>77.008421245374194</v>
      </c>
      <c r="D115" s="9">
        <v>1123.58158151727</v>
      </c>
      <c r="E115" s="6">
        <v>3.7110526812704001</v>
      </c>
      <c r="F115" s="6">
        <v>87.013563248327799</v>
      </c>
      <c r="G115" s="6">
        <v>29.807461149656401</v>
      </c>
      <c r="H115" s="6">
        <v>122.89026868970799</v>
      </c>
    </row>
    <row r="116" spans="1:8" ht="15" customHeight="1" x14ac:dyDescent="0.25">
      <c r="A116" s="8" t="s">
        <v>157</v>
      </c>
      <c r="B116" s="5">
        <v>76.452631900184997</v>
      </c>
      <c r="C116" s="5">
        <v>74.909999245091498</v>
      </c>
      <c r="D116" s="9">
        <v>1089.15998920641</v>
      </c>
      <c r="E116" s="6">
        <v>3.6792631651225798</v>
      </c>
      <c r="F116" s="6">
        <v>94.741996847759296</v>
      </c>
      <c r="G116" s="6">
        <v>35.261173601278003</v>
      </c>
      <c r="H116" s="6">
        <v>82.884211289255305</v>
      </c>
    </row>
    <row r="117" spans="1:8" ht="15" customHeight="1" x14ac:dyDescent="0.25">
      <c r="A117" s="8" t="s">
        <v>158</v>
      </c>
      <c r="B117" s="5">
        <v>81.289999920388894</v>
      </c>
      <c r="C117" s="5">
        <v>79.931304268215001</v>
      </c>
      <c r="D117" s="9">
        <v>1152.04869013247</v>
      </c>
      <c r="E117" s="6">
        <v>3.71926087918489</v>
      </c>
      <c r="F117" s="6">
        <v>69.136338689206198</v>
      </c>
      <c r="G117" s="6">
        <v>52.160598225826199</v>
      </c>
      <c r="H117" s="6">
        <v>91.180634734187606</v>
      </c>
    </row>
    <row r="118" spans="1:8" ht="15" customHeight="1" x14ac:dyDescent="0.25">
      <c r="A118" s="8" t="s">
        <v>159</v>
      </c>
      <c r="B118" s="5">
        <v>84.575237455822204</v>
      </c>
      <c r="C118" s="5">
        <v>85.753809611002595</v>
      </c>
      <c r="D118" s="9">
        <v>1197.3161853608599</v>
      </c>
      <c r="E118" s="6">
        <v>3.8193333262489002</v>
      </c>
      <c r="F118" s="6">
        <v>69.321409742848999</v>
      </c>
      <c r="G118" s="6">
        <v>41.167659552536698</v>
      </c>
      <c r="H118" s="6">
        <v>92.1095223653885</v>
      </c>
    </row>
    <row r="119" spans="1:8" ht="15" customHeight="1" x14ac:dyDescent="0.25">
      <c r="A119" s="8" t="s">
        <v>160</v>
      </c>
      <c r="B119" s="5">
        <v>74.117501449585006</v>
      </c>
      <c r="C119" s="5">
        <v>76.664736697548307</v>
      </c>
      <c r="D119" s="9">
        <v>1125.06200561524</v>
      </c>
      <c r="E119" s="6">
        <v>3.4127499699592598</v>
      </c>
      <c r="F119" s="6">
        <v>25.172052268667901</v>
      </c>
      <c r="G119" s="6">
        <v>24.673249739539401</v>
      </c>
      <c r="H119" s="6">
        <v>12.7749979496002</v>
      </c>
    </row>
    <row r="120" spans="1:8" ht="15" customHeight="1" x14ac:dyDescent="0.25">
      <c r="A120" s="8" t="s">
        <v>161</v>
      </c>
      <c r="B120" s="5">
        <v>75.404545870694307</v>
      </c>
      <c r="C120" s="5">
        <v>75.548635656183393</v>
      </c>
      <c r="D120" s="9">
        <v>1083.3608953302601</v>
      </c>
      <c r="E120" s="6">
        <v>3.1940000057220499</v>
      </c>
      <c r="F120" s="6">
        <v>8.1914817286128994</v>
      </c>
      <c r="G120" s="6">
        <v>16.979089397372199</v>
      </c>
      <c r="H120" s="6">
        <v>-51.340912688862197</v>
      </c>
    </row>
    <row r="121" spans="1:8" ht="15" customHeight="1" x14ac:dyDescent="0.25">
      <c r="A121" s="8" t="s">
        <v>162</v>
      </c>
      <c r="B121" s="5">
        <v>76.382857549758199</v>
      </c>
      <c r="C121" s="5">
        <v>75.508999633789102</v>
      </c>
      <c r="D121" s="9">
        <v>1079.80333600725</v>
      </c>
      <c r="E121" s="6">
        <v>2.9849047433762301</v>
      </c>
      <c r="F121" s="6">
        <v>18.803976923344202</v>
      </c>
      <c r="G121" s="6">
        <v>15.385625674036</v>
      </c>
      <c r="H121" s="6">
        <v>-55.150435290811402</v>
      </c>
    </row>
    <row r="122" spans="1:8" ht="15" customHeight="1" x14ac:dyDescent="0.25">
      <c r="A122" s="8" t="s">
        <v>163</v>
      </c>
      <c r="B122" s="5">
        <v>76.666817058216395</v>
      </c>
      <c r="C122" s="5">
        <v>77.114999944513499</v>
      </c>
      <c r="D122" s="9">
        <v>1087.28227095171</v>
      </c>
      <c r="E122" s="6">
        <v>2.6885454546321501</v>
      </c>
      <c r="F122" s="6">
        <v>7.7710942610900204</v>
      </c>
      <c r="G122" s="6">
        <v>7.6810549374430002</v>
      </c>
      <c r="H122" s="6">
        <v>-89.064501529132102</v>
      </c>
    </row>
    <row r="123" spans="1:8" ht="15" customHeight="1" x14ac:dyDescent="0.25">
      <c r="A123" s="8" t="s">
        <v>164</v>
      </c>
      <c r="B123" s="5">
        <v>75.548570905412902</v>
      </c>
      <c r="C123" s="5">
        <v>78.490952264694897</v>
      </c>
      <c r="D123" s="9">
        <v>1122.0819033668199</v>
      </c>
      <c r="E123" s="6">
        <v>2.6371905008951799</v>
      </c>
      <c r="F123" s="6">
        <v>8.7529038354261104</v>
      </c>
      <c r="G123" s="6">
        <v>7.42227215742406</v>
      </c>
      <c r="H123" s="6">
        <v>-75.547616822378998</v>
      </c>
    </row>
    <row r="124" spans="1:8" ht="15" customHeight="1" x14ac:dyDescent="0.25">
      <c r="A124" s="8" t="s">
        <v>165</v>
      </c>
      <c r="B124" s="5">
        <v>81.974762326195105</v>
      </c>
      <c r="C124" s="5">
        <v>83.536190214611196</v>
      </c>
      <c r="D124" s="9">
        <v>1171.5838099888399</v>
      </c>
      <c r="E124" s="6">
        <v>2.5141999602317799</v>
      </c>
      <c r="F124" s="6">
        <v>8.1124120690895705</v>
      </c>
      <c r="G124" s="6">
        <v>9.7334195332917908</v>
      </c>
      <c r="H124" s="6">
        <v>-85.2254576032812</v>
      </c>
    </row>
    <row r="125" spans="1:8" ht="15" customHeight="1" x14ac:dyDescent="0.25">
      <c r="A125" s="8" t="s">
        <v>166</v>
      </c>
      <c r="B125" s="5">
        <v>84.314761570521796</v>
      </c>
      <c r="C125" s="5">
        <v>86.162380400158099</v>
      </c>
      <c r="D125" s="9">
        <v>1198.8885614304299</v>
      </c>
      <c r="E125" s="6">
        <v>2.7383809543791302</v>
      </c>
      <c r="F125" s="6">
        <v>7.8952735148815698</v>
      </c>
      <c r="G125" s="6">
        <v>10.1849748900362</v>
      </c>
      <c r="H125" s="6">
        <v>-65.696904886336597</v>
      </c>
    </row>
    <row r="126" spans="1:8" ht="15" customHeight="1" x14ac:dyDescent="0.25">
      <c r="A126" s="8" t="s">
        <v>167</v>
      </c>
      <c r="B126" s="5">
        <v>89.233181693337201</v>
      </c>
      <c r="C126" s="5">
        <v>92.185908230868193</v>
      </c>
      <c r="D126" s="9">
        <v>1241.5254516601599</v>
      </c>
      <c r="E126" s="6">
        <v>3.2803636247461498</v>
      </c>
      <c r="F126" s="6">
        <v>19.6104220446366</v>
      </c>
      <c r="G126" s="6">
        <v>11.811091342369901</v>
      </c>
      <c r="H126" s="6">
        <v>-30.068181861530601</v>
      </c>
    </row>
    <row r="127" spans="1:8" ht="15" customHeight="1" x14ac:dyDescent="0.25">
      <c r="A127" s="8" t="s">
        <v>168</v>
      </c>
      <c r="B127" s="5">
        <v>89.578500366210903</v>
      </c>
      <c r="C127" s="5">
        <v>96.786315917968807</v>
      </c>
      <c r="D127" s="9">
        <v>1282.6184997558601</v>
      </c>
      <c r="E127" s="6">
        <v>3.3687499999999999</v>
      </c>
      <c r="F127" s="6">
        <v>14.2544560946949</v>
      </c>
      <c r="G127" s="6">
        <v>14.154461131681099</v>
      </c>
      <c r="H127" s="6">
        <v>-34.230268127039899</v>
      </c>
    </row>
    <row r="128" spans="1:8" ht="15" customHeight="1" x14ac:dyDescent="0.25">
      <c r="A128" s="8" t="s">
        <v>169</v>
      </c>
      <c r="B128" s="5">
        <v>89.743157637746705</v>
      </c>
      <c r="C128" s="5">
        <v>103.94210494191999</v>
      </c>
      <c r="D128" s="9">
        <v>1321.1178877981099</v>
      </c>
      <c r="E128" s="6">
        <v>3.5646841902481898</v>
      </c>
      <c r="F128" s="6">
        <v>17.384000272107698</v>
      </c>
      <c r="G128" s="6">
        <v>21.296953697381401</v>
      </c>
      <c r="H128" s="6">
        <v>-11.457897487439601</v>
      </c>
    </row>
    <row r="129" spans="1:8" ht="15" customHeight="1" x14ac:dyDescent="0.25">
      <c r="A129" s="8" t="s">
        <v>170</v>
      </c>
      <c r="B129" s="5">
        <v>102.98130466627001</v>
      </c>
      <c r="C129" s="5">
        <v>114.64954514937</v>
      </c>
      <c r="D129" s="9">
        <v>1304.4865138841701</v>
      </c>
      <c r="E129" s="6">
        <v>3.40626084286234</v>
      </c>
      <c r="F129" s="6">
        <v>26.683853816121001</v>
      </c>
      <c r="G129" s="6">
        <v>13.2318907227931</v>
      </c>
      <c r="H129" s="6">
        <v>-31.300003632255201</v>
      </c>
    </row>
    <row r="130" spans="1:8" ht="15" customHeight="1" x14ac:dyDescent="0.25">
      <c r="A130" s="8" t="s">
        <v>171</v>
      </c>
      <c r="B130" s="5">
        <v>110.038500595093</v>
      </c>
      <c r="C130" s="5">
        <v>123.050525866057</v>
      </c>
      <c r="D130" s="9">
        <v>1331.50501098633</v>
      </c>
      <c r="E130" s="6">
        <v>3.4328000068664601</v>
      </c>
      <c r="F130" s="6">
        <v>30.107232217433999</v>
      </c>
      <c r="G130" s="6">
        <v>11.207467773854701</v>
      </c>
      <c r="H130" s="6">
        <v>-38.653331938244101</v>
      </c>
    </row>
    <row r="131" spans="1:8" ht="15" customHeight="1" x14ac:dyDescent="0.25">
      <c r="A131" s="8" t="s">
        <v>172</v>
      </c>
      <c r="B131" s="5">
        <v>101.35666656494099</v>
      </c>
      <c r="C131" s="5">
        <v>114.51428622291201</v>
      </c>
      <c r="D131" s="9">
        <v>1338.3104654947899</v>
      </c>
      <c r="E131" s="6">
        <v>3.1583333356039902</v>
      </c>
      <c r="F131" s="6">
        <v>36.7513267212396</v>
      </c>
      <c r="G131" s="6">
        <v>18.954373964743699</v>
      </c>
      <c r="H131" s="6">
        <v>-25.4416634355272</v>
      </c>
    </row>
    <row r="132" spans="1:8" ht="15" customHeight="1" x14ac:dyDescent="0.25">
      <c r="A132" s="8" t="s">
        <v>173</v>
      </c>
      <c r="B132" s="5">
        <v>96.288636641068905</v>
      </c>
      <c r="C132" s="5">
        <v>113.901818015359</v>
      </c>
      <c r="D132" s="9">
        <v>1287.2886408025599</v>
      </c>
      <c r="E132" s="6">
        <v>2.9914545362645901</v>
      </c>
      <c r="F132" s="6">
        <v>27.6960633198259</v>
      </c>
      <c r="G132" s="6">
        <v>18.823620674450801</v>
      </c>
      <c r="H132" s="6">
        <v>-20.2545469457453</v>
      </c>
    </row>
    <row r="133" spans="1:8" ht="15" customHeight="1" x14ac:dyDescent="0.25">
      <c r="A133" s="8" t="s">
        <v>174</v>
      </c>
      <c r="B133" s="5">
        <v>97.340499877929702</v>
      </c>
      <c r="C133" s="5">
        <v>117.118235419778</v>
      </c>
      <c r="D133" s="9">
        <v>1325.1845031738301</v>
      </c>
      <c r="E133" s="6">
        <v>2.9779500007629398</v>
      </c>
      <c r="F133" s="6">
        <v>27.437625405044599</v>
      </c>
      <c r="G133" s="6">
        <v>22.724616509697899</v>
      </c>
      <c r="H133" s="6">
        <v>-0.69547426132929901</v>
      </c>
    </row>
    <row r="134" spans="1:8" ht="15" customHeight="1" x14ac:dyDescent="0.25">
      <c r="A134" s="8" t="s">
        <v>175</v>
      </c>
      <c r="B134" s="5">
        <v>86.340869737708104</v>
      </c>
      <c r="C134" s="5">
        <v>109.91476149786099</v>
      </c>
      <c r="D134" s="9">
        <v>1185.30565344769</v>
      </c>
      <c r="E134" s="6">
        <v>2.2864347851794702</v>
      </c>
      <c r="F134" s="6">
        <v>12.618304829514001</v>
      </c>
      <c r="G134" s="6">
        <v>9.0154493561442202</v>
      </c>
      <c r="H134" s="6">
        <v>-40.2110669452683</v>
      </c>
    </row>
    <row r="135" spans="1:8" ht="15" customHeight="1" x14ac:dyDescent="0.25">
      <c r="A135" s="8" t="s">
        <v>176</v>
      </c>
      <c r="B135" s="5">
        <v>85.609999157133601</v>
      </c>
      <c r="C135" s="5">
        <v>110.194499969482</v>
      </c>
      <c r="D135" s="9">
        <v>1173.87905738467</v>
      </c>
      <c r="E135" s="6">
        <v>1.96390476113274</v>
      </c>
      <c r="F135" s="6">
        <v>13.3178273673999</v>
      </c>
      <c r="G135" s="6">
        <v>4.6161651714050196</v>
      </c>
      <c r="H135" s="6">
        <v>-67.328573976244201</v>
      </c>
    </row>
    <row r="136" spans="1:8" ht="15" customHeight="1" x14ac:dyDescent="0.25">
      <c r="A136" s="8" t="s">
        <v>177</v>
      </c>
      <c r="B136" s="5">
        <v>86.428095136370004</v>
      </c>
      <c r="C136" s="5">
        <v>109.08950042724599</v>
      </c>
      <c r="D136" s="9">
        <v>1207.21618652344</v>
      </c>
      <c r="E136" s="6">
        <v>2.12747619833265</v>
      </c>
      <c r="F136" s="6">
        <v>5.4325656870514401</v>
      </c>
      <c r="G136" s="6">
        <v>3.0413851941960299</v>
      </c>
      <c r="H136" s="6">
        <v>-38.672376189913003</v>
      </c>
    </row>
    <row r="137" spans="1:8" ht="15" customHeight="1" x14ac:dyDescent="0.25">
      <c r="A137" s="8" t="s">
        <v>178</v>
      </c>
      <c r="B137" s="5">
        <v>97.162857055664105</v>
      </c>
      <c r="C137" s="5">
        <v>110.82263103284301</v>
      </c>
      <c r="D137" s="9">
        <v>1226.4147716703901</v>
      </c>
      <c r="E137" s="6">
        <v>2.0053333271117402</v>
      </c>
      <c r="F137" s="6">
        <v>15.2382515775675</v>
      </c>
      <c r="G137" s="6">
        <v>2.2959773848465899</v>
      </c>
      <c r="H137" s="6">
        <v>-73.304762726738304</v>
      </c>
    </row>
    <row r="138" spans="1:8" ht="15" customHeight="1" x14ac:dyDescent="0.25">
      <c r="A138" s="8" t="s">
        <v>179</v>
      </c>
      <c r="B138" s="5">
        <v>98.575713384719094</v>
      </c>
      <c r="C138" s="5">
        <v>107.72285643078</v>
      </c>
      <c r="D138" s="9">
        <v>1243.3228469122</v>
      </c>
      <c r="E138" s="6">
        <v>1.9693809520630601</v>
      </c>
      <c r="F138" s="6">
        <v>10.469795555972601</v>
      </c>
      <c r="G138" s="6">
        <v>0.14477312967224901</v>
      </c>
      <c r="H138" s="6">
        <v>-131.098267268309</v>
      </c>
    </row>
    <row r="139" spans="1:8" ht="15" customHeight="1" x14ac:dyDescent="0.25">
      <c r="A139" s="8" t="s">
        <v>180</v>
      </c>
      <c r="B139" s="5">
        <v>100.31849899292</v>
      </c>
      <c r="C139" s="5">
        <v>111.464999771118</v>
      </c>
      <c r="D139" s="9">
        <v>1300.5780151367201</v>
      </c>
      <c r="E139" s="6">
        <v>1.94405000209808</v>
      </c>
      <c r="F139" s="6">
        <v>11.9894825017188</v>
      </c>
      <c r="G139" s="6">
        <v>1.40022269944475</v>
      </c>
      <c r="H139" s="6">
        <v>-142.46999979019199</v>
      </c>
    </row>
    <row r="140" spans="1:8" ht="15" customHeight="1" x14ac:dyDescent="0.25">
      <c r="A140" s="8" t="s">
        <v>181</v>
      </c>
      <c r="B140" s="5">
        <v>102.26249961853</v>
      </c>
      <c r="C140" s="5">
        <v>119.010500717163</v>
      </c>
      <c r="D140" s="9">
        <v>1352.4875</v>
      </c>
      <c r="E140" s="6">
        <v>1.95825001001358</v>
      </c>
      <c r="F140" s="6">
        <v>13.950191090131501</v>
      </c>
      <c r="G140" s="6">
        <v>2.3744748664462398</v>
      </c>
      <c r="H140" s="6">
        <v>-160.64341802346101</v>
      </c>
    </row>
    <row r="141" spans="1:8" ht="15" customHeight="1" x14ac:dyDescent="0.25">
      <c r="A141" s="8" t="s">
        <v>182</v>
      </c>
      <c r="B141" s="5">
        <v>106.20499940352001</v>
      </c>
      <c r="C141" s="5">
        <v>124.544545953924</v>
      </c>
      <c r="D141" s="9">
        <v>1389.2400013316801</v>
      </c>
      <c r="E141" s="6">
        <v>2.1611818183552098</v>
      </c>
      <c r="F141" s="6">
        <v>3.1303689030709498</v>
      </c>
      <c r="G141" s="6">
        <v>6.4970765542947202</v>
      </c>
      <c r="H141" s="6">
        <v>-124.507902450712</v>
      </c>
    </row>
    <row r="142" spans="1:8" ht="15" customHeight="1" x14ac:dyDescent="0.25">
      <c r="A142" s="8" t="s">
        <v>183</v>
      </c>
      <c r="B142" s="5">
        <v>103.346000289917</v>
      </c>
      <c r="C142" s="5">
        <v>120.486500167847</v>
      </c>
      <c r="D142" s="9">
        <v>1386.4289855956999</v>
      </c>
      <c r="E142" s="6">
        <v>2.02835000157356</v>
      </c>
      <c r="F142" s="6">
        <v>-6.0819624667570604</v>
      </c>
      <c r="G142" s="6">
        <v>4.1249544054429998</v>
      </c>
      <c r="H142" s="6">
        <v>-140.44500052928899</v>
      </c>
    </row>
    <row r="143" spans="1:8" ht="15" customHeight="1" x14ac:dyDescent="0.25">
      <c r="A143" s="8" t="s">
        <v>184</v>
      </c>
      <c r="B143" s="5">
        <v>94.715909784490407</v>
      </c>
      <c r="C143" s="5">
        <v>110.433182456277</v>
      </c>
      <c r="D143" s="9">
        <v>1341.2727161754301</v>
      </c>
      <c r="E143" s="6">
        <v>1.7899999889460501</v>
      </c>
      <c r="F143" s="6">
        <v>-6.5518697541183704</v>
      </c>
      <c r="G143" s="6">
        <v>0.221342562657112</v>
      </c>
      <c r="H143" s="6">
        <v>-136.83333466579401</v>
      </c>
    </row>
    <row r="144" spans="1:8" ht="15" customHeight="1" x14ac:dyDescent="0.25">
      <c r="A144" s="8" t="s">
        <v>185</v>
      </c>
      <c r="B144" s="5">
        <v>82.405238196963396</v>
      </c>
      <c r="C144" s="5">
        <v>95.927143278576096</v>
      </c>
      <c r="D144" s="9">
        <v>1323.4842936197899</v>
      </c>
      <c r="E144" s="6">
        <v>1.60852381728944</v>
      </c>
      <c r="F144" s="6">
        <v>-14.4185221937019</v>
      </c>
      <c r="G144" s="6">
        <v>2.8117744280466099</v>
      </c>
      <c r="H144" s="6">
        <v>-138.29307189751501</v>
      </c>
    </row>
    <row r="145" spans="1:8" ht="15" customHeight="1" x14ac:dyDescent="0.25">
      <c r="A145" s="8" t="s">
        <v>186</v>
      </c>
      <c r="B145" s="5">
        <v>87.931428818475595</v>
      </c>
      <c r="C145" s="5">
        <v>102.864286150251</v>
      </c>
      <c r="D145" s="9">
        <v>1359.77619861421</v>
      </c>
      <c r="E145" s="6">
        <v>1.4991428568249701</v>
      </c>
      <c r="F145" s="6">
        <v>-9.6661421209604903</v>
      </c>
      <c r="G145" s="6">
        <v>2.6103305130369399</v>
      </c>
      <c r="H145" s="6">
        <v>-147.88071439379701</v>
      </c>
    </row>
    <row r="146" spans="1:8" ht="15" customHeight="1" x14ac:dyDescent="0.25">
      <c r="A146" s="8" t="s">
        <v>187</v>
      </c>
      <c r="B146" s="5">
        <v>94.160870095957904</v>
      </c>
      <c r="C146" s="5">
        <v>112.67826113493599</v>
      </c>
      <c r="D146" s="9">
        <v>1403.44825810972</v>
      </c>
      <c r="E146" s="6">
        <v>1.66917391445326</v>
      </c>
      <c r="F146" s="6">
        <v>9.0571248378733493</v>
      </c>
      <c r="G146" s="6">
        <v>18.4039116009879</v>
      </c>
      <c r="H146" s="6">
        <v>-61.726087072621198</v>
      </c>
    </row>
    <row r="147" spans="1:8" ht="15" customHeight="1" x14ac:dyDescent="0.25">
      <c r="A147" s="8" t="s">
        <v>188</v>
      </c>
      <c r="B147" s="5">
        <v>94.558421887849505</v>
      </c>
      <c r="C147" s="5">
        <v>112.61470525404999</v>
      </c>
      <c r="D147" s="9">
        <v>1443.41947214227</v>
      </c>
      <c r="E147" s="6">
        <v>1.7127368450164799</v>
      </c>
      <c r="F147" s="6">
        <v>10.452543883678199</v>
      </c>
      <c r="G147" s="6">
        <v>22.961514907516602</v>
      </c>
      <c r="H147" s="6">
        <v>-25.116791611625999</v>
      </c>
    </row>
    <row r="148" spans="1:8" ht="15" customHeight="1" x14ac:dyDescent="0.25">
      <c r="A148" s="8" t="s">
        <v>189</v>
      </c>
      <c r="B148" s="5">
        <v>89.948095412481393</v>
      </c>
      <c r="C148" s="5">
        <v>111.621052792198</v>
      </c>
      <c r="D148" s="9">
        <v>1437.8166620163699</v>
      </c>
      <c r="E148" s="6">
        <v>1.7211428540093601</v>
      </c>
      <c r="F148" s="6">
        <v>4.0727500363827396</v>
      </c>
      <c r="G148" s="6">
        <v>19.101837605161599</v>
      </c>
      <c r="H148" s="6">
        <v>-40.633334432329498</v>
      </c>
    </row>
    <row r="149" spans="1:8" ht="15" customHeight="1" x14ac:dyDescent="0.25">
      <c r="A149" s="8" t="s">
        <v>190</v>
      </c>
      <c r="B149" s="5">
        <v>86.732380094982304</v>
      </c>
      <c r="C149" s="5">
        <v>109.462000656128</v>
      </c>
      <c r="D149" s="9">
        <v>1394.51238723028</v>
      </c>
      <c r="E149" s="6">
        <v>1.6426190364928499</v>
      </c>
      <c r="F149" s="6">
        <v>-10.735045548018601</v>
      </c>
      <c r="G149" s="6">
        <v>13.706424567191499</v>
      </c>
      <c r="H149" s="6">
        <v>-36.271429061889698</v>
      </c>
    </row>
    <row r="150" spans="1:8" ht="15" customHeight="1" x14ac:dyDescent="0.25">
      <c r="A150" s="8" t="s">
        <v>191</v>
      </c>
      <c r="B150" s="5">
        <v>88.245500183105506</v>
      </c>
      <c r="C150" s="5">
        <v>109.302778032091</v>
      </c>
      <c r="D150" s="9">
        <v>1422.2854919433601</v>
      </c>
      <c r="E150" s="6">
        <v>1.70455000400543</v>
      </c>
      <c r="F150" s="6">
        <v>-10.4794709030379</v>
      </c>
      <c r="G150" s="6">
        <v>14.3938998205986</v>
      </c>
      <c r="H150" s="6">
        <v>-26.483094805762899</v>
      </c>
    </row>
    <row r="151" spans="1:8" ht="15" customHeight="1" x14ac:dyDescent="0.25">
      <c r="A151" s="8" t="s">
        <v>192</v>
      </c>
      <c r="B151" s="5">
        <v>94.828570774623302</v>
      </c>
      <c r="C151" s="5">
        <v>112.268095833915</v>
      </c>
      <c r="D151" s="9">
        <v>1480.3952404203901</v>
      </c>
      <c r="E151" s="6">
        <v>1.8900000084014199</v>
      </c>
      <c r="F151" s="6">
        <v>-5.47249836611297</v>
      </c>
      <c r="G151" s="6">
        <v>13.8259468629235</v>
      </c>
      <c r="H151" s="6">
        <v>-5.4049993696667</v>
      </c>
    </row>
    <row r="152" spans="1:8" ht="15" customHeight="1" x14ac:dyDescent="0.25">
      <c r="A152" s="8" t="s">
        <v>193</v>
      </c>
      <c r="B152" s="5">
        <v>95.321578979492202</v>
      </c>
      <c r="C152" s="5">
        <v>116.08263156288599</v>
      </c>
      <c r="D152" s="9">
        <v>1512.31158126028</v>
      </c>
      <c r="E152" s="6">
        <v>1.96742104856592</v>
      </c>
      <c r="F152" s="6">
        <v>-6.7873567191588204</v>
      </c>
      <c r="G152" s="6">
        <v>11.8170468311374</v>
      </c>
      <c r="H152" s="6">
        <v>0.91710385523344795</v>
      </c>
    </row>
    <row r="153" spans="1:8" ht="15" customHeight="1" x14ac:dyDescent="0.25">
      <c r="A153" s="8" t="s">
        <v>194</v>
      </c>
      <c r="B153" s="5">
        <v>92.956999206543003</v>
      </c>
      <c r="C153" s="5">
        <v>109.520525882119</v>
      </c>
      <c r="D153" s="9">
        <v>1550.8289855957</v>
      </c>
      <c r="E153" s="6">
        <v>1.9454999983310699</v>
      </c>
      <c r="F153" s="6">
        <v>-12.473989239095999</v>
      </c>
      <c r="G153" s="6">
        <v>11.6314664211463</v>
      </c>
      <c r="H153" s="6">
        <v>-21.5681820024144</v>
      </c>
    </row>
    <row r="154" spans="1:8" ht="15" customHeight="1" x14ac:dyDescent="0.25">
      <c r="A154" s="8" t="s">
        <v>195</v>
      </c>
      <c r="B154" s="5">
        <v>92.067727522416604</v>
      </c>
      <c r="C154" s="5">
        <v>103.566818930886</v>
      </c>
      <c r="D154" s="9">
        <v>1570.7022649591599</v>
      </c>
      <c r="E154" s="6">
        <v>1.73118179494684</v>
      </c>
      <c r="F154" s="6">
        <v>-10.913119749058</v>
      </c>
      <c r="G154" s="6">
        <v>13.291216591543099</v>
      </c>
      <c r="H154" s="6">
        <v>-29.7168206626719</v>
      </c>
    </row>
    <row r="155" spans="1:8" ht="15" customHeight="1" x14ac:dyDescent="0.25">
      <c r="A155" s="8" t="s">
        <v>196</v>
      </c>
      <c r="B155" s="5">
        <v>94.799545981667293</v>
      </c>
      <c r="C155" s="5">
        <v>103.215455141935</v>
      </c>
      <c r="D155" s="9">
        <v>1639.84272349965</v>
      </c>
      <c r="E155" s="6">
        <v>1.9180454611778299</v>
      </c>
      <c r="F155" s="6">
        <v>8.8302163139397594E-2</v>
      </c>
      <c r="G155" s="6">
        <v>22.260201353799001</v>
      </c>
      <c r="H155" s="6">
        <v>12.804547223177799</v>
      </c>
    </row>
    <row r="156" spans="1:8" ht="15" customHeight="1" x14ac:dyDescent="0.25">
      <c r="A156" s="8" t="s">
        <v>197</v>
      </c>
      <c r="B156" s="5">
        <v>95.800499343872104</v>
      </c>
      <c r="C156" s="5">
        <v>103.142631932309</v>
      </c>
      <c r="D156" s="9">
        <v>1618.7725158691401</v>
      </c>
      <c r="E156" s="6">
        <v>2.2890499949455299</v>
      </c>
      <c r="F156" s="6">
        <v>16.255351528614799</v>
      </c>
      <c r="G156" s="6">
        <v>22.3114262611853</v>
      </c>
      <c r="H156" s="6">
        <v>68.052617765608304</v>
      </c>
    </row>
    <row r="157" spans="1:8" ht="15" customHeight="1" x14ac:dyDescent="0.25">
      <c r="A157" s="8" t="s">
        <v>198</v>
      </c>
      <c r="B157" s="5">
        <v>104.698636488481</v>
      </c>
      <c r="C157" s="5">
        <v>107.49190484909801</v>
      </c>
      <c r="D157" s="9">
        <v>1668.67544278232</v>
      </c>
      <c r="E157" s="6">
        <v>2.56590909307653</v>
      </c>
      <c r="F157" s="6">
        <v>19.0685036002535</v>
      </c>
      <c r="G157" s="6">
        <v>22.716918010692702</v>
      </c>
      <c r="H157" s="6">
        <v>106.67662362515701</v>
      </c>
    </row>
    <row r="158" spans="1:8" ht="15" customHeight="1" x14ac:dyDescent="0.25">
      <c r="A158" s="8" t="s">
        <v>199</v>
      </c>
      <c r="B158" s="5">
        <v>106.539091283625</v>
      </c>
      <c r="C158" s="5">
        <v>110.511905125209</v>
      </c>
      <c r="D158" s="9">
        <v>1670.0936390269901</v>
      </c>
      <c r="E158" s="6">
        <v>2.7304545424201301</v>
      </c>
      <c r="F158" s="6">
        <v>13.145822861505501</v>
      </c>
      <c r="G158" s="6">
        <v>18.9993025661249</v>
      </c>
      <c r="H158" s="6">
        <v>106.128062796687</v>
      </c>
    </row>
    <row r="159" spans="1:8" ht="15" customHeight="1" x14ac:dyDescent="0.25">
      <c r="A159" s="8" t="s">
        <v>200</v>
      </c>
      <c r="B159" s="5">
        <v>106.23549957275399</v>
      </c>
      <c r="C159" s="5">
        <v>111.320000542535</v>
      </c>
      <c r="D159" s="9">
        <v>1687.17350463867</v>
      </c>
      <c r="E159" s="6">
        <v>2.8008000254630998</v>
      </c>
      <c r="F159" s="6">
        <v>12.3490615132663</v>
      </c>
      <c r="G159" s="6">
        <v>16.887262310146799</v>
      </c>
      <c r="H159" s="6">
        <v>108.806318044663</v>
      </c>
    </row>
    <row r="160" spans="1:8" ht="15" customHeight="1" x14ac:dyDescent="0.25">
      <c r="A160" s="8" t="s">
        <v>201</v>
      </c>
      <c r="B160" s="5">
        <v>100.552607992421</v>
      </c>
      <c r="C160" s="5">
        <v>109.50227321278</v>
      </c>
      <c r="D160" s="9">
        <v>1720.0265317170499</v>
      </c>
      <c r="E160" s="6">
        <v>2.5997391161711301</v>
      </c>
      <c r="F160" s="6">
        <v>11.7895910205878</v>
      </c>
      <c r="G160" s="6">
        <v>19.627667223227</v>
      </c>
      <c r="H160" s="6">
        <v>87.859626216177602</v>
      </c>
    </row>
    <row r="161" spans="1:8" ht="15" customHeight="1" x14ac:dyDescent="0.25">
      <c r="A161" s="8" t="s">
        <v>202</v>
      </c>
      <c r="B161" s="5">
        <v>93.931499862670904</v>
      </c>
      <c r="C161" s="5">
        <v>107.721053274054</v>
      </c>
      <c r="D161" s="9">
        <v>1783.5410034179699</v>
      </c>
      <c r="E161" s="6">
        <v>2.70849997997284</v>
      </c>
      <c r="F161" s="6">
        <v>8.3003830401110505</v>
      </c>
      <c r="G161" s="6">
        <v>27.8971072433682</v>
      </c>
      <c r="H161" s="6">
        <v>106.588094347999</v>
      </c>
    </row>
    <row r="162" spans="1:8" ht="15" customHeight="1" x14ac:dyDescent="0.25">
      <c r="A162" s="8" t="s">
        <v>203</v>
      </c>
      <c r="B162" s="5">
        <v>97.894286019461504</v>
      </c>
      <c r="C162" s="5">
        <v>110.854000091553</v>
      </c>
      <c r="D162" s="9">
        <v>1807.7752336774599</v>
      </c>
      <c r="E162" s="6">
        <v>2.89200002806527</v>
      </c>
      <c r="F162" s="6">
        <v>10.934025889518701</v>
      </c>
      <c r="G162" s="6">
        <v>27.1035417233552</v>
      </c>
      <c r="H162" s="6">
        <v>118.745002405984</v>
      </c>
    </row>
    <row r="163" spans="1:8" ht="15" customHeight="1" x14ac:dyDescent="0.25">
      <c r="A163" s="8" t="s">
        <v>204</v>
      </c>
      <c r="B163" s="5">
        <v>94.856667291550394</v>
      </c>
      <c r="C163" s="5">
        <v>107.199499511719</v>
      </c>
      <c r="D163" s="9">
        <v>1822.35666038877</v>
      </c>
      <c r="E163" s="6">
        <v>2.84214283171154</v>
      </c>
      <c r="F163" s="6">
        <v>2.9628746587206899E-2</v>
      </c>
      <c r="G163" s="6">
        <v>23.099332572244101</v>
      </c>
      <c r="H163" s="6">
        <v>95.214282331012598</v>
      </c>
    </row>
    <row r="164" spans="1:8" ht="15" customHeight="1" x14ac:dyDescent="0.25">
      <c r="A164" s="8" t="s">
        <v>205</v>
      </c>
      <c r="B164" s="5">
        <v>100.675262451172</v>
      </c>
      <c r="C164" s="5">
        <v>108.706111484104</v>
      </c>
      <c r="D164" s="9">
        <v>1817.0347386410399</v>
      </c>
      <c r="E164" s="6">
        <v>2.6972631655241299</v>
      </c>
      <c r="F164" s="6">
        <v>5.6164443864610103</v>
      </c>
      <c r="G164" s="6">
        <v>20.1494957227542</v>
      </c>
      <c r="H164" s="6">
        <v>72.984211695821699</v>
      </c>
    </row>
    <row r="165" spans="1:8" ht="15" customHeight="1" x14ac:dyDescent="0.25">
      <c r="A165" s="8" t="s">
        <v>206</v>
      </c>
      <c r="B165" s="5">
        <v>100.50904737200101</v>
      </c>
      <c r="C165" s="5">
        <v>107.85761878604001</v>
      </c>
      <c r="D165" s="9">
        <v>1863.5233386811799</v>
      </c>
      <c r="E165" s="6">
        <v>2.7166666643960098</v>
      </c>
      <c r="F165" s="6">
        <v>8.1242383359186707</v>
      </c>
      <c r="G165" s="6">
        <v>20.163045441490802</v>
      </c>
      <c r="H165" s="6">
        <v>77.116666606494405</v>
      </c>
    </row>
    <row r="166" spans="1:8" ht="15" customHeight="1" x14ac:dyDescent="0.25">
      <c r="A166" s="8" t="s">
        <v>207</v>
      </c>
      <c r="B166" s="5">
        <v>102.034762064616</v>
      </c>
      <c r="C166" s="5">
        <v>108.05190531412801</v>
      </c>
      <c r="D166" s="9">
        <v>1864.26333472842</v>
      </c>
      <c r="E166" s="6">
        <v>2.6912857123783702</v>
      </c>
      <c r="F166" s="6">
        <v>10.8257636094826</v>
      </c>
      <c r="G166" s="6">
        <v>18.689797316673101</v>
      </c>
      <c r="H166" s="6">
        <v>96.010391743152198</v>
      </c>
    </row>
    <row r="167" spans="1:8" ht="15" customHeight="1" x14ac:dyDescent="0.25">
      <c r="A167" s="8" t="s">
        <v>208</v>
      </c>
      <c r="B167" s="5">
        <v>101.794761657715</v>
      </c>
      <c r="C167" s="5">
        <v>109.21952420189299</v>
      </c>
      <c r="D167" s="9">
        <v>1889.7671421596001</v>
      </c>
      <c r="E167" s="6">
        <v>2.5518095152718701</v>
      </c>
      <c r="F167" s="6">
        <v>7.3789548289612501</v>
      </c>
      <c r="G167" s="6">
        <v>15.2407554138229</v>
      </c>
      <c r="H167" s="6">
        <v>63.3764054094042</v>
      </c>
    </row>
    <row r="168" spans="1:8" ht="15" customHeight="1" x14ac:dyDescent="0.25">
      <c r="A168" s="8" t="s">
        <v>209</v>
      </c>
      <c r="B168" s="5">
        <v>105.14666748046901</v>
      </c>
      <c r="C168" s="5">
        <v>111.98047601608999</v>
      </c>
      <c r="D168" s="9">
        <v>1947.0876116071399</v>
      </c>
      <c r="E168" s="6">
        <v>2.5925714174906398</v>
      </c>
      <c r="F168" s="6">
        <v>9.7558657842157697</v>
      </c>
      <c r="G168" s="6">
        <v>20.281731529258501</v>
      </c>
      <c r="H168" s="6">
        <v>30.352142254511499</v>
      </c>
    </row>
    <row r="169" spans="1:8" ht="15" customHeight="1" x14ac:dyDescent="0.25">
      <c r="A169" s="8" t="s">
        <v>210</v>
      </c>
      <c r="B169" s="5">
        <v>102.391817613082</v>
      </c>
      <c r="C169" s="5">
        <v>107.985908855091</v>
      </c>
      <c r="D169" s="9">
        <v>1973.0999866832401</v>
      </c>
      <c r="E169" s="6">
        <v>2.5300000039013999</v>
      </c>
      <c r="F169" s="6">
        <v>-2.2032940950986499</v>
      </c>
      <c r="G169" s="6">
        <v>18.243484388631799</v>
      </c>
      <c r="H169" s="6">
        <v>-3.5909089175137701</v>
      </c>
    </row>
    <row r="170" spans="1:8" ht="15" customHeight="1" x14ac:dyDescent="0.25">
      <c r="A170" s="8" t="s">
        <v>211</v>
      </c>
      <c r="B170" s="5">
        <v>96.076190403529594</v>
      </c>
      <c r="C170" s="5">
        <v>103.32047562372099</v>
      </c>
      <c r="D170" s="9">
        <v>1961.53190685454</v>
      </c>
      <c r="E170" s="6">
        <v>2.4121905167897499</v>
      </c>
      <c r="F170" s="6">
        <v>-9.8207153393501905</v>
      </c>
      <c r="G170" s="6">
        <v>17.450414816102398</v>
      </c>
      <c r="H170" s="6">
        <v>-31.826402563037298</v>
      </c>
    </row>
    <row r="171" spans="1:8" ht="15" customHeight="1" x14ac:dyDescent="0.25">
      <c r="A171" s="8" t="s">
        <v>212</v>
      </c>
      <c r="B171" s="5">
        <v>93.034285409109899</v>
      </c>
      <c r="C171" s="5">
        <v>98.253808884393607</v>
      </c>
      <c r="D171" s="9">
        <v>1993.2261904761899</v>
      </c>
      <c r="E171" s="6">
        <v>2.5284285545349099</v>
      </c>
      <c r="F171" s="6">
        <v>-12.426368037741801</v>
      </c>
      <c r="G171" s="6">
        <v>18.139965154506399</v>
      </c>
      <c r="H171" s="6">
        <v>-27.2371470928192</v>
      </c>
    </row>
    <row r="172" spans="1:8" ht="15" customHeight="1" x14ac:dyDescent="0.25">
      <c r="A172" s="8" t="s">
        <v>213</v>
      </c>
      <c r="B172" s="5">
        <v>84.339129240616501</v>
      </c>
      <c r="C172" s="5">
        <v>87.979130620541795</v>
      </c>
      <c r="D172" s="9">
        <v>1937.2743503736399</v>
      </c>
      <c r="E172" s="6">
        <v>2.2883043392844802</v>
      </c>
      <c r="F172" s="6">
        <v>-16.124374171405499</v>
      </c>
      <c r="G172" s="6">
        <v>12.6304923005878</v>
      </c>
      <c r="H172" s="6">
        <v>-31.143477688664898</v>
      </c>
    </row>
    <row r="173" spans="1:8" ht="15" customHeight="1" x14ac:dyDescent="0.25">
      <c r="A173" s="8" t="s">
        <v>214</v>
      </c>
      <c r="B173" s="5">
        <v>75.810000770970404</v>
      </c>
      <c r="C173" s="5">
        <v>79.912104556434997</v>
      </c>
      <c r="D173" s="9">
        <v>2044.57210500617</v>
      </c>
      <c r="E173" s="6">
        <v>2.3227894557149802</v>
      </c>
      <c r="F173" s="6">
        <v>-19.292249264830598</v>
      </c>
      <c r="G173" s="6">
        <v>14.6355537152193</v>
      </c>
      <c r="H173" s="6">
        <v>-38.5710524257861</v>
      </c>
    </row>
    <row r="174" spans="1:8" ht="15" customHeight="1" x14ac:dyDescent="0.25">
      <c r="A174" s="8" t="s">
        <v>215</v>
      </c>
      <c r="B174" s="5">
        <v>59.289544885808802</v>
      </c>
      <c r="C174" s="5">
        <v>63.2036365162243</v>
      </c>
      <c r="D174" s="9">
        <v>2054.2663629705298</v>
      </c>
      <c r="E174" s="6">
        <v>2.20436362786727</v>
      </c>
      <c r="F174" s="6">
        <v>-39.435132226183299</v>
      </c>
      <c r="G174" s="6">
        <v>13.6350539990332</v>
      </c>
      <c r="H174" s="6">
        <v>-68.763640019800803</v>
      </c>
    </row>
    <row r="175" spans="1:8" ht="15" customHeight="1" x14ac:dyDescent="0.25">
      <c r="A175" s="8" t="s">
        <v>216</v>
      </c>
      <c r="B175" s="5">
        <v>47.325500106811504</v>
      </c>
      <c r="C175" s="5">
        <v>49.679999923706099</v>
      </c>
      <c r="D175" s="9">
        <v>2028.17850952148</v>
      </c>
      <c r="E175" s="6">
        <v>1.8735500037670101</v>
      </c>
      <c r="F175" s="6">
        <v>-50.108409394826801</v>
      </c>
      <c r="G175" s="6">
        <v>11.2942682190879</v>
      </c>
      <c r="H175" s="6">
        <v>-96.859282794452895</v>
      </c>
    </row>
    <row r="176" spans="1:8" ht="15" customHeight="1" x14ac:dyDescent="0.25">
      <c r="A176" s="8" t="s">
        <v>217</v>
      </c>
      <c r="B176" s="5">
        <v>50.724736464651002</v>
      </c>
      <c r="C176" s="5">
        <v>58.440526259572898</v>
      </c>
      <c r="D176" s="9">
        <v>2082.1957943564998</v>
      </c>
      <c r="E176" s="6">
        <v>1.96989472916252</v>
      </c>
      <c r="F176" s="6">
        <v>-49.615491204452702</v>
      </c>
      <c r="G176" s="6">
        <v>14.593064737649099</v>
      </c>
      <c r="H176" s="6">
        <v>-72.736843636161396</v>
      </c>
    </row>
    <row r="177" spans="1:8" ht="15" customHeight="1" x14ac:dyDescent="0.25">
      <c r="A177" s="8" t="s">
        <v>218</v>
      </c>
      <c r="B177" s="5">
        <v>47.854090603915097</v>
      </c>
      <c r="C177" s="5">
        <v>56.934999812733103</v>
      </c>
      <c r="D177" s="9">
        <v>2079.9904396750699</v>
      </c>
      <c r="E177" s="6">
        <v>2.0408181710676701</v>
      </c>
      <c r="F177" s="6">
        <v>-52.3882756277659</v>
      </c>
      <c r="G177" s="6">
        <v>11.616012340746501</v>
      </c>
      <c r="H177" s="6">
        <v>-67.584849332834196</v>
      </c>
    </row>
    <row r="178" spans="1:8" ht="15" customHeight="1" x14ac:dyDescent="0.25">
      <c r="A178" s="8" t="s">
        <v>219</v>
      </c>
      <c r="B178" s="5">
        <v>54.628095536004899</v>
      </c>
      <c r="C178" s="5">
        <v>60.965237753731898</v>
      </c>
      <c r="D178" s="9">
        <v>2094.8628394717298</v>
      </c>
      <c r="E178" s="6">
        <v>1.9270952542622899</v>
      </c>
      <c r="F178" s="6">
        <v>-46.461289828450397</v>
      </c>
      <c r="G178" s="6">
        <v>12.369470581091299</v>
      </c>
      <c r="H178" s="6">
        <v>-76.419045811607802</v>
      </c>
    </row>
    <row r="179" spans="1:8" ht="15" customHeight="1" x14ac:dyDescent="0.25">
      <c r="A179" s="8" t="s">
        <v>220</v>
      </c>
      <c r="B179" s="5">
        <v>59.371999931335502</v>
      </c>
      <c r="C179" s="5">
        <v>65.600999259948694</v>
      </c>
      <c r="D179" s="9">
        <v>2111.94351806641</v>
      </c>
      <c r="E179" s="6">
        <v>2.1918000221252401</v>
      </c>
      <c r="F179" s="6">
        <v>-41.674798423347198</v>
      </c>
      <c r="G179" s="6">
        <v>11.756812305081599</v>
      </c>
      <c r="H179" s="6">
        <v>-36.0009493146624</v>
      </c>
    </row>
    <row r="180" spans="1:8" ht="15" customHeight="1" x14ac:dyDescent="0.25">
      <c r="A180" s="8" t="s">
        <v>221</v>
      </c>
      <c r="B180" s="5">
        <v>59.8286365162243</v>
      </c>
      <c r="C180" s="5">
        <v>63.704090291803503</v>
      </c>
      <c r="D180" s="9">
        <v>2099.2836581143501</v>
      </c>
      <c r="E180" s="6">
        <v>2.3569090799851899</v>
      </c>
      <c r="F180" s="6">
        <v>-43.099826223843401</v>
      </c>
      <c r="G180" s="6">
        <v>7.8165998078319596</v>
      </c>
      <c r="H180" s="6">
        <v>-23.566233750545599</v>
      </c>
    </row>
    <row r="181" spans="1:8" ht="15" customHeight="1" x14ac:dyDescent="0.25">
      <c r="A181" s="8" t="s">
        <v>222</v>
      </c>
      <c r="B181" s="5">
        <v>50.930000131780503</v>
      </c>
      <c r="C181" s="5">
        <v>56.621818022294498</v>
      </c>
      <c r="D181" s="9">
        <v>2094.14362681996</v>
      </c>
      <c r="E181" s="6">
        <v>2.3152727105400799</v>
      </c>
      <c r="F181" s="6">
        <v>-50.259697191591101</v>
      </c>
      <c r="G181" s="6">
        <v>6.1346936776474097</v>
      </c>
      <c r="H181" s="6">
        <v>-21.4727293361317</v>
      </c>
    </row>
    <row r="182" spans="1:8" ht="15" customHeight="1" x14ac:dyDescent="0.25">
      <c r="A182" s="8" t="s">
        <v>223</v>
      </c>
      <c r="B182" s="5">
        <v>42.889047713506798</v>
      </c>
      <c r="C182" s="5">
        <v>48.219523838588202</v>
      </c>
      <c r="D182" s="9">
        <v>2039.8662051246299</v>
      </c>
      <c r="E182" s="6">
        <v>2.1617619083041202</v>
      </c>
      <c r="F182" s="6">
        <v>-55.359337695043401</v>
      </c>
      <c r="G182" s="6">
        <v>3.9935265899245098</v>
      </c>
      <c r="H182" s="6">
        <v>-25.042860848563102</v>
      </c>
    </row>
    <row r="183" spans="1:8" ht="15" customHeight="1" x14ac:dyDescent="0.25">
      <c r="A183" s="8" t="s">
        <v>224</v>
      </c>
      <c r="B183" s="5">
        <v>45.465238298688597</v>
      </c>
      <c r="C183" s="5">
        <v>48.433333442324702</v>
      </c>
      <c r="D183" s="9">
        <v>1944.4023844400999</v>
      </c>
      <c r="E183" s="6">
        <v>2.1681904679252999</v>
      </c>
      <c r="F183" s="6">
        <v>-51.1306631756676</v>
      </c>
      <c r="G183" s="6">
        <v>-2.4494864792250199</v>
      </c>
      <c r="H183" s="6">
        <v>-36.0238086609614</v>
      </c>
    </row>
    <row r="184" spans="1:8" ht="15" customHeight="1" x14ac:dyDescent="0.25">
      <c r="A184" s="8" t="s">
        <v>225</v>
      </c>
      <c r="B184" s="5">
        <v>46.289545405994801</v>
      </c>
      <c r="C184" s="5">
        <v>49.214091214266702</v>
      </c>
      <c r="D184" s="9">
        <v>2024.81271639737</v>
      </c>
      <c r="E184" s="6">
        <v>2.0591818473555801</v>
      </c>
      <c r="F184" s="6">
        <v>-45.114983018223498</v>
      </c>
      <c r="G184" s="6">
        <v>4.5186354739506802</v>
      </c>
      <c r="H184" s="6">
        <v>-22.912249192889998</v>
      </c>
    </row>
    <row r="185" spans="1:8" ht="15" customHeight="1" x14ac:dyDescent="0.25">
      <c r="A185" s="8" t="s">
        <v>226</v>
      </c>
      <c r="B185" s="5">
        <v>42.9230001449585</v>
      </c>
      <c r="C185" s="5">
        <v>45.907000160217301</v>
      </c>
      <c r="D185" s="9">
        <v>2080.6165039062498</v>
      </c>
      <c r="E185" s="6">
        <v>2.2648499965667699</v>
      </c>
      <c r="F185" s="6">
        <v>-43.3808208568244</v>
      </c>
      <c r="G185" s="6">
        <v>1.76293116842525</v>
      </c>
      <c r="H185" s="6">
        <v>-5.7939459148206298</v>
      </c>
    </row>
    <row r="186" spans="1:8" ht="15" customHeight="1" x14ac:dyDescent="0.25">
      <c r="A186" s="8" t="s">
        <v>227</v>
      </c>
      <c r="B186" s="5">
        <v>37.327272588556497</v>
      </c>
      <c r="C186" s="5">
        <v>38.909545204856201</v>
      </c>
      <c r="D186" s="9">
        <v>2054.0795621005</v>
      </c>
      <c r="E186" s="6">
        <v>2.2386817823756799</v>
      </c>
      <c r="F186" s="6">
        <v>-37.042403242513501</v>
      </c>
      <c r="G186" s="6">
        <v>-9.0933129897718002E-3</v>
      </c>
      <c r="H186" s="6">
        <v>3.43181545084175</v>
      </c>
    </row>
    <row r="187" spans="1:8" ht="15" customHeight="1" x14ac:dyDescent="0.25">
      <c r="A187" s="8" t="s">
        <v>228</v>
      </c>
      <c r="B187" s="5">
        <v>31.7757894616378</v>
      </c>
      <c r="C187" s="5">
        <v>32.212105098523601</v>
      </c>
      <c r="D187" s="9">
        <v>1918.5978875411199</v>
      </c>
      <c r="E187" s="6">
        <v>2.0752105399182001</v>
      </c>
      <c r="F187" s="6">
        <v>-32.8569388808966</v>
      </c>
      <c r="G187" s="6">
        <v>-5.4029081496490097</v>
      </c>
      <c r="H187" s="6">
        <v>20.166053615118301</v>
      </c>
    </row>
    <row r="188" spans="1:8" ht="15" customHeight="1" x14ac:dyDescent="0.25">
      <c r="A188" s="8" t="s">
        <v>229</v>
      </c>
      <c r="B188" s="5">
        <v>30.616499996185301</v>
      </c>
      <c r="C188" s="5">
        <v>33.556499958038302</v>
      </c>
      <c r="D188" s="9">
        <v>1904.41849365234</v>
      </c>
      <c r="E188" s="6">
        <v>1.77700000405312</v>
      </c>
      <c r="F188" s="6">
        <v>-39.6418746945659</v>
      </c>
      <c r="G188" s="6">
        <v>-8.5379723264254803</v>
      </c>
      <c r="H188" s="6">
        <v>-19.2894725109402</v>
      </c>
    </row>
    <row r="189" spans="1:8" ht="15" customHeight="1" x14ac:dyDescent="0.25">
      <c r="A189" s="8" t="s">
        <v>230</v>
      </c>
      <c r="B189" s="5">
        <v>37.960909063165801</v>
      </c>
      <c r="C189" s="5">
        <v>39.751363754272496</v>
      </c>
      <c r="D189" s="9">
        <v>2021.9540904651999</v>
      </c>
      <c r="E189" s="6">
        <v>1.8860909126021601</v>
      </c>
      <c r="F189" s="6">
        <v>-20.673638169481599</v>
      </c>
      <c r="G189" s="6">
        <v>-2.7902219213535799</v>
      </c>
      <c r="H189" s="6">
        <v>-15.4727258465507</v>
      </c>
    </row>
    <row r="190" spans="1:8" ht="15" customHeight="1" x14ac:dyDescent="0.25">
      <c r="A190" s="8" t="s">
        <v>231</v>
      </c>
      <c r="B190" s="5">
        <v>41.124761853899301</v>
      </c>
      <c r="C190" s="5">
        <v>43.386666434151799</v>
      </c>
      <c r="D190" s="9">
        <v>2075.53523181734</v>
      </c>
      <c r="E190" s="6">
        <v>1.79914286023095</v>
      </c>
      <c r="F190" s="6">
        <v>-24.718660882486201</v>
      </c>
      <c r="G190" s="6">
        <v>-0.92261924218694003</v>
      </c>
      <c r="H190" s="6">
        <v>-12.7952394031343</v>
      </c>
    </row>
    <row r="191" spans="1:8" ht="15" customHeight="1" x14ac:dyDescent="0.25">
      <c r="A191" s="8" t="s">
        <v>232</v>
      </c>
      <c r="B191" s="5">
        <v>46.796666644868402</v>
      </c>
      <c r="C191" s="5">
        <v>47.739047640845897</v>
      </c>
      <c r="D191" s="9">
        <v>2065.55047898066</v>
      </c>
      <c r="E191" s="6">
        <v>1.8026190428506801</v>
      </c>
      <c r="F191" s="6">
        <v>-21.180578894109399</v>
      </c>
      <c r="G191" s="6">
        <v>-2.1966988552907498</v>
      </c>
      <c r="H191" s="6">
        <v>-38.918097927456799</v>
      </c>
    </row>
    <row r="192" spans="1:8" ht="15" customHeight="1" x14ac:dyDescent="0.25">
      <c r="A192" s="8" t="s">
        <v>233</v>
      </c>
      <c r="B192" s="5">
        <v>48.853181665593901</v>
      </c>
      <c r="C192" s="5">
        <v>49.926818154074901</v>
      </c>
      <c r="D192" s="9">
        <v>2083.8913685191801</v>
      </c>
      <c r="E192" s="6">
        <v>1.64013636112213</v>
      </c>
      <c r="F192" s="6">
        <v>-18.344818618178</v>
      </c>
      <c r="G192" s="6">
        <v>-0.73321628240542502</v>
      </c>
      <c r="H192" s="6">
        <v>-71.677271886305405</v>
      </c>
    </row>
    <row r="193" spans="1:8" ht="15" customHeight="1" x14ac:dyDescent="0.25">
      <c r="A193" s="8" t="s">
        <v>234</v>
      </c>
      <c r="B193" s="5">
        <v>44.799499702453602</v>
      </c>
      <c r="C193" s="5">
        <v>46.330999755859402</v>
      </c>
      <c r="D193" s="9">
        <v>2148.9019775390602</v>
      </c>
      <c r="E193" s="6">
        <v>1.49895000457764</v>
      </c>
      <c r="F193" s="6">
        <v>-12.0371105703206</v>
      </c>
      <c r="G193" s="6">
        <v>2.6148326226438399</v>
      </c>
      <c r="H193" s="6">
        <v>-81.632270596244098</v>
      </c>
    </row>
    <row r="194" spans="1:8" ht="15" customHeight="1" x14ac:dyDescent="0.25">
      <c r="A194" s="8" t="s">
        <v>235</v>
      </c>
      <c r="B194" s="5">
        <v>44.799130812935203</v>
      </c>
      <c r="C194" s="5">
        <v>47.172608251157001</v>
      </c>
      <c r="D194" s="9">
        <v>2177.48216711957</v>
      </c>
      <c r="E194" s="6">
        <v>1.55460868711057</v>
      </c>
      <c r="F194" s="6">
        <v>4.4535451385806502</v>
      </c>
      <c r="G194" s="6">
        <v>6.7463229524178203</v>
      </c>
      <c r="H194" s="6">
        <v>-60.715322119355498</v>
      </c>
    </row>
    <row r="195" spans="1:8" ht="15" customHeight="1" x14ac:dyDescent="0.25">
      <c r="A195" s="8" t="s">
        <v>236</v>
      </c>
      <c r="B195" s="5">
        <v>45.225714365641302</v>
      </c>
      <c r="C195" s="5">
        <v>47.298095339820499</v>
      </c>
      <c r="D195" s="9">
        <v>2157.6909644717298</v>
      </c>
      <c r="E195" s="6">
        <v>1.62919047900609</v>
      </c>
      <c r="F195" s="6">
        <v>-0.52682872016147597</v>
      </c>
      <c r="G195" s="6">
        <v>10.9693642498304</v>
      </c>
      <c r="H195" s="6">
        <v>-53.8999988919213</v>
      </c>
    </row>
    <row r="196" spans="1:8" ht="15" customHeight="1" x14ac:dyDescent="0.25">
      <c r="A196" s="8" t="s">
        <v>237</v>
      </c>
      <c r="B196" s="5">
        <v>49.869499969482398</v>
      </c>
      <c r="C196" s="5">
        <v>51.210499763488798</v>
      </c>
      <c r="D196" s="9">
        <v>2143.02093796503</v>
      </c>
      <c r="E196" s="6">
        <v>1.75609523341769</v>
      </c>
      <c r="F196" s="6">
        <v>7.7338295982142702</v>
      </c>
      <c r="G196" s="6">
        <v>5.8379829704930897</v>
      </c>
      <c r="H196" s="6">
        <v>-30.308661393788999</v>
      </c>
    </row>
    <row r="197" spans="1:8" ht="15" customHeight="1" x14ac:dyDescent="0.25">
      <c r="A197" s="8" t="s">
        <v>238</v>
      </c>
      <c r="B197" s="5">
        <v>45.881999778747598</v>
      </c>
      <c r="C197" s="5">
        <v>47.108500862121602</v>
      </c>
      <c r="D197" s="9">
        <v>2164.98568870908</v>
      </c>
      <c r="E197" s="6">
        <v>2.1383000135421799</v>
      </c>
      <c r="F197" s="6">
        <v>6.8937390764764803</v>
      </c>
      <c r="G197" s="6">
        <v>4.0550089189636198</v>
      </c>
      <c r="H197" s="6">
        <v>-12.654998302459701</v>
      </c>
    </row>
    <row r="198" spans="1:8" ht="15" customHeight="1" x14ac:dyDescent="0.25">
      <c r="A198" s="8" t="s">
        <v>239</v>
      </c>
      <c r="B198" s="5">
        <v>52.165714990524997</v>
      </c>
      <c r="C198" s="5">
        <v>54.717618851434601</v>
      </c>
      <c r="D198" s="9">
        <v>2246.6290457589298</v>
      </c>
      <c r="E198" s="6">
        <v>2.4865714368366101</v>
      </c>
      <c r="F198" s="6">
        <v>39.752281302539203</v>
      </c>
      <c r="G198" s="6">
        <v>9.3740031891233393</v>
      </c>
      <c r="H198" s="6">
        <v>24.788965446092401</v>
      </c>
    </row>
    <row r="199" spans="1:8" ht="15" customHeight="1" x14ac:dyDescent="0.25">
      <c r="A199" s="8" t="s">
        <v>240</v>
      </c>
      <c r="B199" s="5">
        <v>52.608499717712398</v>
      </c>
      <c r="C199" s="5">
        <v>55.426999855041501</v>
      </c>
      <c r="D199" s="9">
        <v>2275.1159790039101</v>
      </c>
      <c r="E199" s="6">
        <v>2.42579998970032</v>
      </c>
      <c r="F199" s="6">
        <v>65.561581974935606</v>
      </c>
      <c r="G199" s="6">
        <v>18.582220577742</v>
      </c>
      <c r="H199" s="6">
        <v>35.058944978211997</v>
      </c>
    </row>
    <row r="200" spans="1:8" ht="15" customHeight="1" x14ac:dyDescent="0.25">
      <c r="A200" s="8" t="s">
        <v>241</v>
      </c>
      <c r="B200" s="5">
        <v>53.462105600457399</v>
      </c>
      <c r="C200" s="5">
        <v>55.926842739707602</v>
      </c>
      <c r="D200" s="9">
        <v>2329.9105417351998</v>
      </c>
      <c r="E200" s="6">
        <v>2.4184210551412502</v>
      </c>
      <c r="F200" s="6">
        <v>74.6186063303075</v>
      </c>
      <c r="G200" s="6">
        <v>22.342360647151299</v>
      </c>
      <c r="H200" s="6">
        <v>64.142105108813297</v>
      </c>
    </row>
    <row r="201" spans="1:8" ht="15" customHeight="1" x14ac:dyDescent="0.25">
      <c r="A201" s="8" t="s">
        <v>242</v>
      </c>
      <c r="B201" s="5">
        <v>49.6739132093347</v>
      </c>
      <c r="C201" s="5">
        <v>52.505651888640003</v>
      </c>
      <c r="D201" s="9">
        <v>2366.8221700917102</v>
      </c>
      <c r="E201" s="6">
        <v>2.4790434733681099</v>
      </c>
      <c r="F201" s="6">
        <v>30.855436382407799</v>
      </c>
      <c r="G201" s="6">
        <v>17.056177548876398</v>
      </c>
      <c r="H201" s="6">
        <v>59.2952560765941</v>
      </c>
    </row>
    <row r="202" spans="1:8" ht="15" customHeight="1" x14ac:dyDescent="0.25">
      <c r="A202" s="8" t="s">
        <v>243</v>
      </c>
      <c r="B202" s="5">
        <v>51.117368999280401</v>
      </c>
      <c r="C202" s="5">
        <v>53.818947039152498</v>
      </c>
      <c r="D202" s="9">
        <v>2359.3094546669399</v>
      </c>
      <c r="E202" s="6">
        <v>2.2926315759357698</v>
      </c>
      <c r="F202" s="6">
        <v>24.298273582424901</v>
      </c>
      <c r="G202" s="6">
        <v>13.672339476556701</v>
      </c>
      <c r="H202" s="6">
        <v>49.348871570481997</v>
      </c>
    </row>
    <row r="203" spans="1:8" ht="15" customHeight="1" x14ac:dyDescent="0.25">
      <c r="A203" s="8" t="s">
        <v>244</v>
      </c>
      <c r="B203" s="5">
        <v>48.539545752785401</v>
      </c>
      <c r="C203" s="5">
        <v>51.349545565518497</v>
      </c>
      <c r="D203" s="9">
        <v>2395.3458806818198</v>
      </c>
      <c r="E203" s="6">
        <v>2.3024545691230101</v>
      </c>
      <c r="F203" s="6">
        <v>3.7243659279055699</v>
      </c>
      <c r="G203" s="6">
        <v>15.966465359099701</v>
      </c>
      <c r="H203" s="6">
        <v>49.983552627233202</v>
      </c>
    </row>
    <row r="204" spans="1:8" ht="15" customHeight="1" x14ac:dyDescent="0.25">
      <c r="A204" s="8" t="s">
        <v>245</v>
      </c>
      <c r="B204" s="5">
        <v>45.195909500122099</v>
      </c>
      <c r="C204" s="5">
        <v>47.540000395341401</v>
      </c>
      <c r="D204" s="9">
        <v>2433.98545143821</v>
      </c>
      <c r="E204" s="6">
        <v>2.1851363723928299</v>
      </c>
      <c r="F204" s="6">
        <v>-7.4862517461121403</v>
      </c>
      <c r="G204" s="6">
        <v>16.800015980094599</v>
      </c>
      <c r="H204" s="6">
        <v>54.500001127069602</v>
      </c>
    </row>
    <row r="205" spans="1:8" ht="15" customHeight="1" x14ac:dyDescent="0.25">
      <c r="A205" s="8" t="s">
        <v>246</v>
      </c>
      <c r="B205" s="5">
        <v>46.675000381469701</v>
      </c>
      <c r="C205" s="5">
        <v>49.125500297546402</v>
      </c>
      <c r="D205" s="9">
        <v>2454.1025024414098</v>
      </c>
      <c r="E205" s="6">
        <v>2.3130499958991999</v>
      </c>
      <c r="F205" s="6">
        <v>4.1864321956108803</v>
      </c>
      <c r="G205" s="6">
        <v>14.202626648045699</v>
      </c>
      <c r="H205" s="6">
        <v>81.4099991321564</v>
      </c>
    </row>
    <row r="206" spans="1:8" ht="15" customHeight="1" x14ac:dyDescent="0.25">
      <c r="A206" s="8" t="s">
        <v>247</v>
      </c>
      <c r="B206" s="5">
        <v>48.057825668998397</v>
      </c>
      <c r="C206" s="5">
        <v>51.9069563824198</v>
      </c>
      <c r="D206" s="9">
        <v>2456.2230702275801</v>
      </c>
      <c r="E206" s="6">
        <v>2.2079130151997401</v>
      </c>
      <c r="F206" s="6">
        <v>7.2740135733219802</v>
      </c>
      <c r="G206" s="6">
        <v>12.801064794792</v>
      </c>
      <c r="H206" s="6">
        <v>65.330432808917493</v>
      </c>
    </row>
    <row r="207" spans="1:8" ht="15" customHeight="1" x14ac:dyDescent="0.25">
      <c r="A207" s="8" t="s">
        <v>248</v>
      </c>
      <c r="B207" s="5">
        <v>49.876999855041497</v>
      </c>
      <c r="C207" s="5">
        <v>55.652000236511199</v>
      </c>
      <c r="D207" s="9">
        <v>2492.8410400390599</v>
      </c>
      <c r="E207" s="6">
        <v>2.2014500260353098</v>
      </c>
      <c r="F207" s="6">
        <v>10.2846036920401</v>
      </c>
      <c r="G207" s="6">
        <v>15.532811745790999</v>
      </c>
      <c r="H207" s="6">
        <v>57.225954702922301</v>
      </c>
    </row>
    <row r="208" spans="1:8" ht="15" customHeight="1" x14ac:dyDescent="0.25">
      <c r="A208" s="8" t="s">
        <v>249</v>
      </c>
      <c r="B208" s="5">
        <v>51.594545884565903</v>
      </c>
      <c r="C208" s="5">
        <v>57.649090680209099</v>
      </c>
      <c r="D208" s="9">
        <v>2556.99727006392</v>
      </c>
      <c r="E208" s="6">
        <v>2.35786361044104</v>
      </c>
      <c r="F208" s="6">
        <v>3.4591201358327202</v>
      </c>
      <c r="G208" s="6">
        <v>19.317418918547499</v>
      </c>
      <c r="H208" s="6">
        <v>60.176837702334197</v>
      </c>
    </row>
    <row r="209" spans="1:8" ht="15" customHeight="1" x14ac:dyDescent="0.25">
      <c r="A209" s="8" t="s">
        <v>250</v>
      </c>
      <c r="B209" s="5">
        <v>56.662857418968599</v>
      </c>
      <c r="C209" s="5">
        <v>62.871428535098097</v>
      </c>
      <c r="D209" s="9">
        <v>2593.6057361421099</v>
      </c>
      <c r="E209" s="6">
        <v>2.3540952432723299</v>
      </c>
      <c r="F209" s="6">
        <v>23.496921869597099</v>
      </c>
      <c r="G209" s="6">
        <v>19.797823591555002</v>
      </c>
      <c r="H209" s="6">
        <v>21.579522973015202</v>
      </c>
    </row>
    <row r="210" spans="1:8" ht="15" customHeight="1" x14ac:dyDescent="0.25">
      <c r="A210" s="8" t="s">
        <v>251</v>
      </c>
      <c r="B210" s="5">
        <v>57.946999931335498</v>
      </c>
      <c r="C210" s="5">
        <v>64.066500282287606</v>
      </c>
      <c r="D210" s="9">
        <v>2664.3405273437502</v>
      </c>
      <c r="E210" s="6">
        <v>2.4029999732971201</v>
      </c>
      <c r="F210" s="6">
        <v>11.0825375284524</v>
      </c>
      <c r="G210" s="6">
        <v>18.592810520871499</v>
      </c>
      <c r="H210" s="6">
        <v>-8.3571463539486892</v>
      </c>
    </row>
    <row r="211" spans="1:8" ht="15" customHeight="1" x14ac:dyDescent="0.25">
      <c r="A211" s="8" t="s">
        <v>252</v>
      </c>
      <c r="B211" s="5">
        <v>63.659047807965997</v>
      </c>
      <c r="C211" s="5">
        <v>69.022380283900702</v>
      </c>
      <c r="D211" s="9">
        <v>2789.8038155692002</v>
      </c>
      <c r="E211" s="6">
        <v>2.5829047702607699</v>
      </c>
      <c r="F211" s="6">
        <v>21.005252287270601</v>
      </c>
      <c r="G211" s="6">
        <v>22.622487878206201</v>
      </c>
      <c r="H211" s="6">
        <v>15.710478056044799</v>
      </c>
    </row>
    <row r="212" spans="1:8" ht="15" customHeight="1" x14ac:dyDescent="0.25">
      <c r="A212" s="8" t="s">
        <v>253</v>
      </c>
      <c r="B212" s="5">
        <v>62.183684298866702</v>
      </c>
      <c r="C212" s="5">
        <v>65.703684154309698</v>
      </c>
      <c r="D212" s="9">
        <v>2705.1552477384898</v>
      </c>
      <c r="E212" s="6">
        <v>2.86052633586683</v>
      </c>
      <c r="F212" s="6">
        <v>16.313571267822699</v>
      </c>
      <c r="G212" s="6">
        <v>16.105541362280199</v>
      </c>
      <c r="H212" s="6">
        <v>44.210528072557899</v>
      </c>
    </row>
    <row r="213" spans="1:8" ht="15" customHeight="1" x14ac:dyDescent="0.25">
      <c r="A213" s="8" t="s">
        <v>254</v>
      </c>
      <c r="B213" s="5">
        <v>62.771904899960496</v>
      </c>
      <c r="C213" s="5">
        <v>66.809047517322398</v>
      </c>
      <c r="D213" s="9">
        <v>2702.7738211495498</v>
      </c>
      <c r="E213" s="6">
        <v>2.84328570820036</v>
      </c>
      <c r="F213" s="6">
        <v>26.367948173176099</v>
      </c>
      <c r="G213" s="6">
        <v>14.1942075455894</v>
      </c>
      <c r="H213" s="6">
        <v>36.424223483225802</v>
      </c>
    </row>
    <row r="214" spans="1:8" ht="15" customHeight="1" x14ac:dyDescent="0.25">
      <c r="A214" s="8" t="s">
        <v>255</v>
      </c>
      <c r="B214" s="5">
        <v>66.325237819126698</v>
      </c>
      <c r="C214" s="5">
        <v>71.762380690801706</v>
      </c>
      <c r="D214" s="9">
        <v>2653.6252092633899</v>
      </c>
      <c r="E214" s="6">
        <v>2.86609525907607</v>
      </c>
      <c r="F214" s="6">
        <v>29.750883344681402</v>
      </c>
      <c r="G214" s="6">
        <v>12.4746566845764</v>
      </c>
      <c r="H214" s="6">
        <v>57.346368314030798</v>
      </c>
    </row>
    <row r="215" spans="1:8" ht="15" customHeight="1" x14ac:dyDescent="0.25">
      <c r="A215" s="8" t="s">
        <v>256</v>
      </c>
      <c r="B215" s="5">
        <v>69.983180999755902</v>
      </c>
      <c r="C215" s="5">
        <v>77.176818847656307</v>
      </c>
      <c r="D215" s="9">
        <v>2701.4936190518501</v>
      </c>
      <c r="E215" s="6">
        <v>2.9780909039757502</v>
      </c>
      <c r="F215" s="6">
        <v>44.177659503004101</v>
      </c>
      <c r="G215" s="6">
        <v>12.7809407751538</v>
      </c>
      <c r="H215" s="6">
        <v>67.563633485273897</v>
      </c>
    </row>
    <row r="216" spans="1:8" ht="15" customHeight="1" x14ac:dyDescent="0.25">
      <c r="A216" s="8" t="s">
        <v>257</v>
      </c>
      <c r="B216" s="5">
        <v>67.322856721423904</v>
      </c>
      <c r="C216" s="5">
        <v>75.979523794991593</v>
      </c>
      <c r="D216" s="9">
        <v>2754.3528878348202</v>
      </c>
      <c r="E216" s="6">
        <v>2.9132857209160199</v>
      </c>
      <c r="F216" s="6">
        <v>48.957853633285303</v>
      </c>
      <c r="G216" s="6">
        <v>13.1622576547165</v>
      </c>
      <c r="H216" s="6">
        <v>72.814934852319396</v>
      </c>
    </row>
    <row r="217" spans="1:8" ht="15" customHeight="1" x14ac:dyDescent="0.25">
      <c r="A217" s="8" t="s">
        <v>258</v>
      </c>
      <c r="B217" s="5">
        <v>70.581905183337994</v>
      </c>
      <c r="C217" s="5">
        <v>74.795238676525301</v>
      </c>
      <c r="D217" s="9">
        <v>2793.6433570498498</v>
      </c>
      <c r="E217" s="6">
        <v>2.8903333118983698</v>
      </c>
      <c r="F217" s="6">
        <v>51.219934882655998</v>
      </c>
      <c r="G217" s="6">
        <v>13.835642735813201</v>
      </c>
      <c r="H217" s="6">
        <v>57.7283315999167</v>
      </c>
    </row>
    <row r="218" spans="1:8" ht="15" customHeight="1" x14ac:dyDescent="0.25">
      <c r="A218" s="8" t="s">
        <v>259</v>
      </c>
      <c r="B218" s="5">
        <v>67.845217829165307</v>
      </c>
      <c r="C218" s="5">
        <v>73.922608085300595</v>
      </c>
      <c r="D218" s="9">
        <v>2857.8204292629098</v>
      </c>
      <c r="E218" s="6">
        <v>2.8891304472218402</v>
      </c>
      <c r="F218" s="6">
        <v>41.174131132053098</v>
      </c>
      <c r="G218" s="6">
        <v>16.350198966175999</v>
      </c>
      <c r="H218" s="6">
        <v>68.121743202209501</v>
      </c>
    </row>
    <row r="219" spans="1:8" ht="15" customHeight="1" x14ac:dyDescent="0.25">
      <c r="A219" s="8" t="s">
        <v>260</v>
      </c>
      <c r="B219" s="5">
        <v>70.084737275776106</v>
      </c>
      <c r="C219" s="5">
        <v>79.159999646638596</v>
      </c>
      <c r="D219" s="9">
        <v>2901.5005139802602</v>
      </c>
      <c r="E219" s="6">
        <v>3.0047368501362102</v>
      </c>
      <c r="F219" s="6">
        <v>40.515142208763102</v>
      </c>
      <c r="G219" s="6">
        <v>16.3933226137354</v>
      </c>
      <c r="H219" s="6">
        <v>80.328682410089598</v>
      </c>
    </row>
    <row r="220" spans="1:8" ht="15" customHeight="1" x14ac:dyDescent="0.25">
      <c r="A220" s="8" t="s">
        <v>261</v>
      </c>
      <c r="B220" s="5">
        <v>70.757826100225003</v>
      </c>
      <c r="C220" s="5">
        <v>80.629566358483402</v>
      </c>
      <c r="D220" s="9">
        <v>2785.4647800611401</v>
      </c>
      <c r="E220" s="6">
        <v>3.1558695254118598</v>
      </c>
      <c r="F220" s="6">
        <v>37.142065865903298</v>
      </c>
      <c r="G220" s="6">
        <v>8.9349923315135094</v>
      </c>
      <c r="H220" s="6">
        <v>79.800591497081996</v>
      </c>
    </row>
    <row r="221" spans="1:8" ht="15" customHeight="1" x14ac:dyDescent="0.25">
      <c r="A221" s="8" t="s">
        <v>262</v>
      </c>
      <c r="B221" s="5">
        <v>56.693332853771402</v>
      </c>
      <c r="C221" s="5">
        <v>66.232857295445001</v>
      </c>
      <c r="D221" s="9">
        <v>2723.2314220610101</v>
      </c>
      <c r="E221" s="6">
        <v>3.1186190446217901</v>
      </c>
      <c r="F221" s="6">
        <v>5.3783794519035498E-2</v>
      </c>
      <c r="G221" s="6">
        <v>4.9978947884234701</v>
      </c>
      <c r="H221" s="6">
        <v>76.452380134945798</v>
      </c>
    </row>
    <row r="222" spans="1:8" ht="15" customHeight="1" x14ac:dyDescent="0.25">
      <c r="A222" s="8" t="s">
        <v>263</v>
      </c>
      <c r="B222" s="5">
        <v>48.777369248239602</v>
      </c>
      <c r="C222" s="5">
        <v>57.470000216835402</v>
      </c>
      <c r="D222" s="9">
        <v>2567.3073858963799</v>
      </c>
      <c r="E222" s="6">
        <v>2.8335263352645099</v>
      </c>
      <c r="F222" s="6">
        <v>-15.8241681087225</v>
      </c>
      <c r="G222" s="6">
        <v>-3.6419196589749401</v>
      </c>
      <c r="H222" s="6">
        <v>43.052636196738803</v>
      </c>
    </row>
    <row r="223" spans="1:8" ht="15" customHeight="1" x14ac:dyDescent="0.25">
      <c r="A223" s="8" t="s">
        <v>264</v>
      </c>
      <c r="B223" s="5">
        <v>51.550476255870997</v>
      </c>
      <c r="C223" s="5">
        <v>60.121905008951799</v>
      </c>
      <c r="D223" s="9">
        <v>2607.3899972098202</v>
      </c>
      <c r="E223" s="6">
        <v>2.70728568803696</v>
      </c>
      <c r="F223" s="6">
        <v>-19.020974973772301</v>
      </c>
      <c r="G223" s="6">
        <v>-6.5385894642974298</v>
      </c>
      <c r="H223" s="6">
        <v>12.438091777619899</v>
      </c>
    </row>
    <row r="224" spans="1:8" ht="15" customHeight="1" x14ac:dyDescent="0.25">
      <c r="A224" s="8" t="s">
        <v>265</v>
      </c>
      <c r="B224" s="5">
        <v>54.980525970458999</v>
      </c>
      <c r="C224" s="5">
        <v>64.276315387926601</v>
      </c>
      <c r="D224" s="9">
        <v>2754.8642064144701</v>
      </c>
      <c r="E224" s="6">
        <v>2.6755789330131101</v>
      </c>
      <c r="F224" s="6">
        <v>-11.583678917749401</v>
      </c>
      <c r="G224" s="6">
        <v>1.83756398888915</v>
      </c>
      <c r="H224" s="6">
        <v>-18.494740285371499</v>
      </c>
    </row>
    <row r="225" spans="1:8" ht="15" customHeight="1" x14ac:dyDescent="0.25">
      <c r="A225" s="8" t="s">
        <v>266</v>
      </c>
      <c r="B225" s="5">
        <v>58.1680951799665</v>
      </c>
      <c r="C225" s="5">
        <v>67.027619498116593</v>
      </c>
      <c r="D225" s="9">
        <v>2803.9837937128</v>
      </c>
      <c r="E225" s="6">
        <v>2.5708571388607901</v>
      </c>
      <c r="F225" s="6">
        <v>-7.3341883241093901</v>
      </c>
      <c r="G225" s="6">
        <v>3.7446704482359201</v>
      </c>
      <c r="H225" s="6">
        <v>-27.2428569339571</v>
      </c>
    </row>
    <row r="226" spans="1:8" ht="15" customHeight="1" x14ac:dyDescent="0.25">
      <c r="A226" s="8" t="s">
        <v>267</v>
      </c>
      <c r="B226" s="5">
        <v>63.8709526062012</v>
      </c>
      <c r="C226" s="5">
        <v>71.628572373163095</v>
      </c>
      <c r="D226" s="9">
        <v>2903.7999790736599</v>
      </c>
      <c r="E226" s="6">
        <v>2.5299999940963001</v>
      </c>
      <c r="F226" s="6">
        <v>-3.7003790617660499</v>
      </c>
      <c r="G226" s="6">
        <v>9.42766027911353</v>
      </c>
      <c r="H226" s="6">
        <v>-33.6095264979771</v>
      </c>
    </row>
    <row r="227" spans="1:8" ht="15" customHeight="1" x14ac:dyDescent="0.25">
      <c r="A227" s="8" t="s">
        <v>268</v>
      </c>
      <c r="B227" s="5">
        <v>60.865454413674101</v>
      </c>
      <c r="C227" s="5">
        <v>70.311818209561395</v>
      </c>
      <c r="D227" s="9">
        <v>2854.70591042259</v>
      </c>
      <c r="E227" s="6">
        <v>2.3938636021180599</v>
      </c>
      <c r="F227" s="6">
        <v>-13.028454059716999</v>
      </c>
      <c r="G227" s="6">
        <v>5.6713919400080499</v>
      </c>
      <c r="H227" s="6">
        <v>-58.422730185768799</v>
      </c>
    </row>
    <row r="228" spans="1:8" ht="15" customHeight="1" x14ac:dyDescent="0.25">
      <c r="A228" s="8" t="s">
        <v>269</v>
      </c>
      <c r="B228" s="5">
        <v>54.706500244140599</v>
      </c>
      <c r="C228" s="5">
        <v>63.038000106811502</v>
      </c>
      <c r="D228" s="9">
        <v>2890.1659790039098</v>
      </c>
      <c r="E228" s="6">
        <v>2.07190001010895</v>
      </c>
      <c r="F228" s="6">
        <v>-18.740078914786199</v>
      </c>
      <c r="G228" s="6">
        <v>4.9308529698184804</v>
      </c>
      <c r="H228" s="6">
        <v>-84.138571080707393</v>
      </c>
    </row>
    <row r="229" spans="1:8" ht="15" customHeight="1" x14ac:dyDescent="0.25">
      <c r="A229" s="8" t="s">
        <v>270</v>
      </c>
      <c r="B229" s="5">
        <v>57.546363830566399</v>
      </c>
      <c r="C229" s="5">
        <v>64.256363955411103</v>
      </c>
      <c r="D229" s="9">
        <v>2996.1136363636401</v>
      </c>
      <c r="E229" s="6">
        <v>2.0548181750557601</v>
      </c>
      <c r="F229" s="6">
        <v>-18.468673123673099</v>
      </c>
      <c r="G229" s="6">
        <v>7.2475349726673199</v>
      </c>
      <c r="H229" s="6">
        <v>-83.5515136842603</v>
      </c>
    </row>
    <row r="230" spans="1:8" ht="15" customHeight="1" x14ac:dyDescent="0.25">
      <c r="A230" s="8" t="s">
        <v>271</v>
      </c>
      <c r="B230" s="5">
        <v>54.844090548428603</v>
      </c>
      <c r="C230" s="5">
        <v>59.501818050037699</v>
      </c>
      <c r="D230" s="9">
        <v>2897.4504505504301</v>
      </c>
      <c r="E230" s="6">
        <v>1.62372727827592</v>
      </c>
      <c r="F230" s="6">
        <v>-19.162923632249999</v>
      </c>
      <c r="G230" s="6">
        <v>1.3867218836328199</v>
      </c>
      <c r="H230" s="6">
        <v>-126.540316894592</v>
      </c>
    </row>
    <row r="231" spans="1:8" ht="15" customHeight="1" x14ac:dyDescent="0.25">
      <c r="A231" s="8" t="s">
        <v>272</v>
      </c>
      <c r="B231" s="5">
        <v>56.967000007629402</v>
      </c>
      <c r="C231" s="5">
        <v>62.4684999465942</v>
      </c>
      <c r="D231" s="9">
        <v>2982.15600585938</v>
      </c>
      <c r="E231" s="6">
        <v>1.6934499919414501</v>
      </c>
      <c r="F231" s="6">
        <v>-18.716967171510898</v>
      </c>
      <c r="G231" s="6">
        <v>2.7797855451167499</v>
      </c>
      <c r="H231" s="6">
        <v>-131.12868581947501</v>
      </c>
    </row>
    <row r="232" spans="1:8" ht="15" customHeight="1" x14ac:dyDescent="0.25">
      <c r="A232" s="8" t="s">
        <v>273</v>
      </c>
      <c r="B232" s="5">
        <v>54.005652552065598</v>
      </c>
      <c r="C232" s="5">
        <v>59.632173289423399</v>
      </c>
      <c r="D232" s="9">
        <v>2977.6751974354602</v>
      </c>
      <c r="E232" s="6">
        <v>1.7043043478675499</v>
      </c>
      <c r="F232" s="6">
        <v>-23.6753649333867</v>
      </c>
      <c r="G232" s="6">
        <v>6.9004791857429701</v>
      </c>
      <c r="H232" s="6">
        <v>-145.15651775443001</v>
      </c>
    </row>
    <row r="233" spans="1:8" ht="15" customHeight="1" x14ac:dyDescent="0.25">
      <c r="A233" s="8" t="s">
        <v>274</v>
      </c>
      <c r="B233" s="5">
        <v>57.070000076293901</v>
      </c>
      <c r="C233" s="5">
        <v>62.651499748230002</v>
      </c>
      <c r="D233" s="9">
        <v>3104.9044921875002</v>
      </c>
      <c r="E233" s="6">
        <v>1.8174500107765199</v>
      </c>
      <c r="F233" s="6">
        <v>0.66439421279762501</v>
      </c>
      <c r="G233" s="6">
        <v>14.0154474950068</v>
      </c>
      <c r="H233" s="6">
        <v>-130.11690338452701</v>
      </c>
    </row>
    <row r="234" spans="1:8" ht="15" customHeight="1" x14ac:dyDescent="0.25">
      <c r="A234" s="8" t="s">
        <v>275</v>
      </c>
      <c r="B234" s="5">
        <v>59.8047619774228</v>
      </c>
      <c r="C234" s="5">
        <v>65.173808869861404</v>
      </c>
      <c r="D234" s="9">
        <v>3176.74951171875</v>
      </c>
      <c r="E234" s="6">
        <v>1.8619523729596801</v>
      </c>
      <c r="F234" s="6">
        <v>22.607600408013301</v>
      </c>
      <c r="G234" s="6">
        <v>23.738572528181301</v>
      </c>
      <c r="H234" s="6">
        <v>-97.157396230482505</v>
      </c>
    </row>
    <row r="235" spans="1:8" ht="15" customHeight="1" x14ac:dyDescent="0.25">
      <c r="A235" s="8" t="s">
        <v>276</v>
      </c>
      <c r="B235" s="5">
        <v>57.528571900867298</v>
      </c>
      <c r="C235" s="5">
        <v>63.599999927339098</v>
      </c>
      <c r="D235" s="9">
        <v>3278.2028576078901</v>
      </c>
      <c r="E235" s="6">
        <v>1.7543333371480301</v>
      </c>
      <c r="F235" s="6">
        <v>11.596586645143599</v>
      </c>
      <c r="G235" s="6">
        <v>25.727369557906801</v>
      </c>
      <c r="H235" s="6">
        <v>-95.295235088893406</v>
      </c>
    </row>
    <row r="236" spans="1:8" ht="15" customHeight="1" x14ac:dyDescent="0.25">
      <c r="A236" s="8" t="s">
        <v>277</v>
      </c>
      <c r="B236" s="5">
        <v>50.542105022229698</v>
      </c>
      <c r="C236" s="5">
        <v>55.3621053193745</v>
      </c>
      <c r="D236" s="9">
        <v>3277.3141832853598</v>
      </c>
      <c r="E236" s="6">
        <v>1.5016315861752201</v>
      </c>
      <c r="F236" s="6">
        <v>-8.0727146019194098</v>
      </c>
      <c r="G236" s="6">
        <v>18.964636284228</v>
      </c>
      <c r="H236" s="6">
        <v>-117.39473468379001</v>
      </c>
    </row>
    <row r="237" spans="1:8" ht="15" customHeight="1" x14ac:dyDescent="0.25">
      <c r="A237" s="8" t="s">
        <v>278</v>
      </c>
      <c r="B237" s="5">
        <v>30.445454597473098</v>
      </c>
      <c r="C237" s="5">
        <v>33.729091124101103</v>
      </c>
      <c r="D237" s="9">
        <v>2652.3936323686098</v>
      </c>
      <c r="E237" s="6">
        <v>0.86377272551710005</v>
      </c>
      <c r="F237" s="6">
        <v>-47.659529672962798</v>
      </c>
      <c r="G237" s="6">
        <v>-5.4062424213752998</v>
      </c>
      <c r="H237" s="6">
        <v>-170.70844133436901</v>
      </c>
    </row>
    <row r="238" spans="1:8" ht="15" customHeight="1" x14ac:dyDescent="0.25">
      <c r="A238" s="8" t="s">
        <v>279</v>
      </c>
      <c r="B238" s="5">
        <v>16.699047678992901</v>
      </c>
      <c r="C238" s="5">
        <v>26.631428673153799</v>
      </c>
      <c r="D238" s="9">
        <v>2761.9752255394301</v>
      </c>
      <c r="E238" s="6">
        <v>0.65219047239848604</v>
      </c>
      <c r="F238" s="6">
        <v>-73.855020165502296</v>
      </c>
      <c r="G238" s="6">
        <v>-4.8841089109543097</v>
      </c>
      <c r="H238" s="6">
        <v>-187.78095216978201</v>
      </c>
    </row>
    <row r="239" spans="1:8" ht="15" customHeight="1" x14ac:dyDescent="0.25">
      <c r="A239" s="8" t="s">
        <v>280</v>
      </c>
      <c r="B239" s="5">
        <v>28.527499961853</v>
      </c>
      <c r="C239" s="5">
        <v>32.256000232696501</v>
      </c>
      <c r="D239" s="9">
        <v>2919.60848388672</v>
      </c>
      <c r="E239" s="6">
        <v>0.67360000312328305</v>
      </c>
      <c r="F239" s="6">
        <v>-53.130227586957702</v>
      </c>
      <c r="G239" s="6">
        <v>2.2735292356096402</v>
      </c>
      <c r="H239" s="6">
        <v>-172.026359899478</v>
      </c>
    </row>
    <row r="240" spans="1:8" ht="15" customHeight="1" x14ac:dyDescent="0.25">
      <c r="A240" s="8" t="s">
        <v>281</v>
      </c>
      <c r="B240" s="5">
        <v>38.3136360862038</v>
      </c>
      <c r="C240" s="5">
        <v>40.772727272727302</v>
      </c>
      <c r="D240" s="9">
        <v>3104.66093306108</v>
      </c>
      <c r="E240" s="6">
        <v>0.72354545376517598</v>
      </c>
      <c r="F240" s="6">
        <v>-29.965112161772002</v>
      </c>
      <c r="G240" s="6">
        <v>7.4215444931331902</v>
      </c>
      <c r="H240" s="6">
        <v>-134.83545563437701</v>
      </c>
    </row>
    <row r="241" spans="1:8" ht="15" customHeight="1" x14ac:dyDescent="0.25">
      <c r="A241" s="8" t="s">
        <v>282</v>
      </c>
      <c r="B241" s="5">
        <v>40.765909194946303</v>
      </c>
      <c r="C241" s="5">
        <v>43.241363698786003</v>
      </c>
      <c r="D241" s="9">
        <v>3207.6190962358</v>
      </c>
      <c r="E241" s="6">
        <v>0.61545454913919595</v>
      </c>
      <c r="F241" s="6">
        <v>-29.159886947899501</v>
      </c>
      <c r="G241" s="6">
        <v>7.0593270330314297</v>
      </c>
      <c r="H241" s="6">
        <v>-143.936362591657</v>
      </c>
    </row>
    <row r="242" spans="1:8" ht="15" customHeight="1" x14ac:dyDescent="0.25">
      <c r="A242" s="8" t="s">
        <v>283</v>
      </c>
      <c r="B242" s="5">
        <v>42.388095129103903</v>
      </c>
      <c r="C242" s="5">
        <v>45.019999912806902</v>
      </c>
      <c r="D242" s="9">
        <v>3391.71001906622</v>
      </c>
      <c r="E242" s="6">
        <v>0.64476190578369896</v>
      </c>
      <c r="F242" s="6">
        <v>-22.711645493192702</v>
      </c>
      <c r="G242" s="6">
        <v>17.058430401179098</v>
      </c>
      <c r="H242" s="6">
        <v>-97.896537249222504</v>
      </c>
    </row>
    <row r="243" spans="1:8" ht="15" customHeight="1" x14ac:dyDescent="0.25">
      <c r="A243" s="8" t="s">
        <v>284</v>
      </c>
      <c r="B243" s="5">
        <v>39.625714074997703</v>
      </c>
      <c r="C243" s="5">
        <v>41.867142995198598</v>
      </c>
      <c r="D243" s="9">
        <v>3365.5166713169601</v>
      </c>
      <c r="E243" s="6">
        <v>0.67347619079408205</v>
      </c>
      <c r="F243" s="6">
        <v>-30.440932347340102</v>
      </c>
      <c r="G243" s="6">
        <v>12.8551512631921</v>
      </c>
      <c r="H243" s="6">
        <v>-101.997380114737</v>
      </c>
    </row>
    <row r="244" spans="1:8" ht="15" customHeight="1" x14ac:dyDescent="0.25">
      <c r="A244" s="8" t="s">
        <v>285</v>
      </c>
      <c r="B244" s="5">
        <v>39.554545315829202</v>
      </c>
      <c r="C244" s="5">
        <v>41.524091026999699</v>
      </c>
      <c r="D244" s="9">
        <v>3418.69999556108</v>
      </c>
      <c r="E244" s="6">
        <v>0.77368181672963199</v>
      </c>
      <c r="F244" s="6">
        <v>-26.7585086992597</v>
      </c>
      <c r="G244" s="6">
        <v>14.8110444854916</v>
      </c>
      <c r="H244" s="6">
        <v>-93.062253113791897</v>
      </c>
    </row>
    <row r="245" spans="1:8" ht="15" customHeight="1" x14ac:dyDescent="0.25">
      <c r="A245" s="8" t="s">
        <v>286</v>
      </c>
      <c r="B245" s="5">
        <v>41.346500396728501</v>
      </c>
      <c r="C245" s="5">
        <v>43.789000129699701</v>
      </c>
      <c r="D245" s="9">
        <v>3548.9924804687498</v>
      </c>
      <c r="E245" s="6">
        <v>0.87035000324249301</v>
      </c>
      <c r="F245" s="6">
        <v>-27.551252249072199</v>
      </c>
      <c r="G245" s="6">
        <v>14.302790613967501</v>
      </c>
      <c r="H245" s="6">
        <v>-94.710000753402696</v>
      </c>
    </row>
    <row r="246" spans="1:8" ht="15" customHeight="1" x14ac:dyDescent="0.25">
      <c r="A246" s="8" t="s">
        <v>287</v>
      </c>
      <c r="B246" s="5">
        <v>47.068181471391199</v>
      </c>
      <c r="C246" s="5">
        <v>50.2181819568981</v>
      </c>
      <c r="D246" s="9">
        <v>3695.31001420455</v>
      </c>
      <c r="E246" s="6">
        <v>0.92818181623112095</v>
      </c>
      <c r="F246" s="6">
        <v>-21.296933697085699</v>
      </c>
      <c r="G246" s="6">
        <v>16.323619491334501</v>
      </c>
      <c r="H246" s="6">
        <v>-93.377055672856102</v>
      </c>
    </row>
    <row r="247" spans="1:8" ht="15" customHeight="1" x14ac:dyDescent="0.25">
      <c r="A247" s="8" t="s">
        <v>288</v>
      </c>
      <c r="B247" s="5">
        <v>52.102105592426497</v>
      </c>
      <c r="C247" s="5">
        <v>55.351579164203898</v>
      </c>
      <c r="D247" s="9">
        <v>3793.7484323601998</v>
      </c>
      <c r="E247" s="6">
        <v>1.0684210563960801</v>
      </c>
      <c r="F247" s="6">
        <v>-9.4326456039819799</v>
      </c>
      <c r="G247" s="6">
        <v>15.7264695671855</v>
      </c>
      <c r="H247" s="6">
        <v>-68.591228075194806</v>
      </c>
    </row>
    <row r="248" spans="1:8" ht="15" customHeight="1" x14ac:dyDescent="0.25">
      <c r="A248" s="8" t="s">
        <v>289</v>
      </c>
      <c r="B248" s="5">
        <v>59.061052623548001</v>
      </c>
      <c r="C248" s="5">
        <v>62.227894230892801</v>
      </c>
      <c r="D248" s="9">
        <v>3883.4321160567401</v>
      </c>
      <c r="E248" s="6">
        <v>1.2505789556001401</v>
      </c>
      <c r="F248" s="6">
        <v>16.8551499736141</v>
      </c>
      <c r="G248" s="6">
        <v>18.4943493017131</v>
      </c>
      <c r="H248" s="6">
        <v>-25.105263057508001</v>
      </c>
    </row>
    <row r="249" spans="1:8" ht="15" customHeight="1" x14ac:dyDescent="0.25">
      <c r="A249" s="8" t="s">
        <v>290</v>
      </c>
      <c r="B249" s="5">
        <v>62.357391357421903</v>
      </c>
      <c r="C249" s="5">
        <v>65.702173813529598</v>
      </c>
      <c r="D249" s="9">
        <v>3910.50827955163</v>
      </c>
      <c r="E249" s="6">
        <v>1.6083912953086501</v>
      </c>
      <c r="F249" s="6">
        <v>104.81675239166</v>
      </c>
      <c r="G249" s="6">
        <v>47.433180046489397</v>
      </c>
      <c r="H249" s="6">
        <v>74.461856979155201</v>
      </c>
    </row>
    <row r="250" spans="1:8" ht="15" customHeight="1" x14ac:dyDescent="0.25">
      <c r="A250" s="8" t="s">
        <v>291</v>
      </c>
      <c r="B250" s="5">
        <v>61.7038098289853</v>
      </c>
      <c r="C250" s="5">
        <v>65.328571501232304</v>
      </c>
      <c r="D250" s="9">
        <v>4141.1761997767899</v>
      </c>
      <c r="E250" s="6">
        <v>1.61790476526533</v>
      </c>
      <c r="F250" s="6">
        <v>269.50496228960299</v>
      </c>
      <c r="G250" s="6">
        <v>49.9353130138227</v>
      </c>
      <c r="H250" s="6">
        <v>96.571429286684307</v>
      </c>
    </row>
    <row r="251" spans="1:8" ht="15" customHeight="1" x14ac:dyDescent="0.25">
      <c r="A251" s="8" t="s">
        <v>292</v>
      </c>
      <c r="B251" s="5">
        <v>65.156999778747604</v>
      </c>
      <c r="C251" s="5">
        <v>68.258499908447305</v>
      </c>
      <c r="D251" s="9">
        <v>4167.8495361328096</v>
      </c>
      <c r="E251" s="6">
        <v>1.61564999222755</v>
      </c>
      <c r="F251" s="6">
        <v>128.400665553853</v>
      </c>
      <c r="G251" s="6">
        <v>42.753713696035597</v>
      </c>
      <c r="H251" s="6">
        <v>94.204998910427094</v>
      </c>
    </row>
    <row r="252" spans="1:8" ht="15" customHeight="1" x14ac:dyDescent="0.25">
      <c r="A252" s="8" t="s">
        <v>293</v>
      </c>
      <c r="B252" s="5">
        <v>71.352728756991297</v>
      </c>
      <c r="C252" s="5">
        <v>73.408181623979104</v>
      </c>
      <c r="D252" s="9">
        <v>4238.48954634233</v>
      </c>
      <c r="E252" s="6">
        <v>1.51340908895839</v>
      </c>
      <c r="F252" s="6">
        <v>86.233247600021798</v>
      </c>
      <c r="G252" s="6">
        <v>36.520207447044399</v>
      </c>
      <c r="H252" s="6">
        <v>78.986363519321799</v>
      </c>
    </row>
    <row r="253" spans="1:8" ht="15" customHeight="1" x14ac:dyDescent="0.25">
      <c r="A253" s="8" t="s">
        <v>294</v>
      </c>
      <c r="B253" s="5">
        <v>72.430476597377194</v>
      </c>
      <c r="C253" s="5">
        <v>74.157143365769201</v>
      </c>
      <c r="D253" s="9">
        <v>4363.7127976190504</v>
      </c>
      <c r="E253" s="6">
        <v>1.3084285656611101</v>
      </c>
      <c r="F253" s="6">
        <v>77.674135148091807</v>
      </c>
      <c r="G253" s="6">
        <v>36.04211306573</v>
      </c>
      <c r="H253" s="6">
        <v>69.297401652191596</v>
      </c>
    </row>
    <row r="254" spans="1:8" ht="15" customHeight="1" x14ac:dyDescent="0.25">
      <c r="A254" s="8" t="s">
        <v>295</v>
      </c>
      <c r="B254" s="5">
        <v>67.711363185535802</v>
      </c>
      <c r="C254" s="5">
        <v>70.513636155561997</v>
      </c>
      <c r="D254" s="9">
        <v>4453.9659312855101</v>
      </c>
      <c r="E254" s="6">
        <v>1.2778636379675401</v>
      </c>
      <c r="F254" s="6">
        <v>59.741462736891897</v>
      </c>
      <c r="G254" s="6">
        <v>31.3191843125711</v>
      </c>
      <c r="H254" s="6">
        <v>63.310173218384499</v>
      </c>
    </row>
    <row r="255" spans="1:8" ht="15" customHeight="1" x14ac:dyDescent="0.25">
      <c r="A255" s="8" t="s">
        <v>296</v>
      </c>
      <c r="B255" s="5">
        <v>71.544762021019395</v>
      </c>
      <c r="C255" s="5">
        <v>75.002855936686203</v>
      </c>
      <c r="D255" s="9">
        <v>4445.5433175223197</v>
      </c>
      <c r="E255" s="6">
        <v>1.3711904798235199</v>
      </c>
      <c r="F255" s="6">
        <v>80.5513507860326</v>
      </c>
      <c r="G255" s="6">
        <v>32.090961111855997</v>
      </c>
      <c r="H255" s="6">
        <v>69.771428902943896</v>
      </c>
    </row>
    <row r="256" spans="1:8" ht="15" customHeight="1" x14ac:dyDescent="0.25">
      <c r="A256" s="8" t="s">
        <v>297</v>
      </c>
      <c r="B256" s="5">
        <v>81.222857520693793</v>
      </c>
      <c r="C256" s="5">
        <v>83.746190388997405</v>
      </c>
      <c r="D256" s="9">
        <v>4460.7070777529798</v>
      </c>
      <c r="E256" s="6">
        <v>1.5771904786427799</v>
      </c>
      <c r="F256" s="6">
        <v>105.343929179713</v>
      </c>
      <c r="G256" s="6">
        <v>30.479629202470601</v>
      </c>
      <c r="H256" s="6">
        <v>80.350866191314907</v>
      </c>
    </row>
    <row r="257" spans="1:8" ht="15" customHeight="1" x14ac:dyDescent="0.25">
      <c r="A257" s="8" t="s">
        <v>298</v>
      </c>
      <c r="B257" s="5">
        <v>78.653809320359002</v>
      </c>
      <c r="C257" s="5">
        <v>80.784285409109899</v>
      </c>
      <c r="D257" s="9">
        <v>4667.3866489955399</v>
      </c>
      <c r="E257" s="6">
        <v>1.5566190424419599</v>
      </c>
      <c r="F257" s="6">
        <v>90.230874597992297</v>
      </c>
      <c r="G257" s="6">
        <v>31.513004738152301</v>
      </c>
      <c r="H257" s="6">
        <v>68.626903919946599</v>
      </c>
    </row>
    <row r="258" spans="1:8" ht="15" customHeight="1" x14ac:dyDescent="0.25">
      <c r="A258" s="8" t="s">
        <v>299</v>
      </c>
      <c r="B258" s="5">
        <v>71.690000707452995</v>
      </c>
      <c r="C258" s="5">
        <v>74.743181402033002</v>
      </c>
      <c r="D258" s="9">
        <v>4674.7727716619302</v>
      </c>
      <c r="E258" s="6">
        <v>1.46186363155192</v>
      </c>
      <c r="F258" s="6">
        <v>52.310963513700599</v>
      </c>
      <c r="G258" s="6">
        <v>26.505563909182001</v>
      </c>
      <c r="H258" s="6">
        <v>53.368181532079497</v>
      </c>
    </row>
    <row r="259" spans="1:8" ht="15" customHeight="1" x14ac:dyDescent="0.25">
      <c r="A259" s="8" t="s">
        <v>300</v>
      </c>
      <c r="B259" s="5">
        <v>82.979000091552706</v>
      </c>
      <c r="C259" s="5">
        <v>85.526999664306601</v>
      </c>
      <c r="D259" s="9">
        <v>4573.8154541015601</v>
      </c>
      <c r="E259" s="6">
        <v>1.7624000012874601</v>
      </c>
      <c r="F259" s="6">
        <v>59.262277691161998</v>
      </c>
      <c r="G259" s="6">
        <v>20.561906927921001</v>
      </c>
      <c r="H259" s="6">
        <v>69.397894489137798</v>
      </c>
    </row>
    <row r="260" spans="1:8" ht="15" customHeight="1" x14ac:dyDescent="0.25">
      <c r="A260" s="8" t="s">
        <v>301</v>
      </c>
      <c r="B260" s="5">
        <v>91.628946806255101</v>
      </c>
      <c r="C260" s="5">
        <v>94.033684579949593</v>
      </c>
      <c r="D260" s="9">
        <v>4435.9804944490097</v>
      </c>
      <c r="E260" s="6">
        <v>1.9378420992901499</v>
      </c>
      <c r="F260" s="6">
        <v>55.1427594599323</v>
      </c>
      <c r="G260" s="6">
        <v>14.228351671390399</v>
      </c>
      <c r="H260" s="6">
        <v>68.726314369000903</v>
      </c>
    </row>
    <row r="261" spans="1:8" ht="15" customHeight="1" x14ac:dyDescent="0.25">
      <c r="A261" s="8" t="s">
        <v>302</v>
      </c>
      <c r="B261" s="5">
        <v>108.262173859969</v>
      </c>
      <c r="C261" s="5">
        <v>112.463044208029</v>
      </c>
      <c r="D261" s="9">
        <v>4391.2652640964698</v>
      </c>
      <c r="E261" s="6">
        <v>2.1286087036132799</v>
      </c>
      <c r="F261" s="6">
        <v>73.615623590520698</v>
      </c>
      <c r="G261" s="6">
        <v>12.293976899595201</v>
      </c>
      <c r="H261" s="6">
        <v>52.021740830462903</v>
      </c>
    </row>
    <row r="262" spans="1:8" ht="15" customHeight="1" x14ac:dyDescent="0.25">
      <c r="A262" s="8" t="s">
        <v>303</v>
      </c>
      <c r="B262" s="5">
        <v>101.64049949646</v>
      </c>
      <c r="C262" s="5">
        <v>105.916999816895</v>
      </c>
      <c r="D262" s="9">
        <v>4391.2959960937496</v>
      </c>
      <c r="E262" s="6">
        <v>2.74715000391007</v>
      </c>
      <c r="F262" s="6">
        <v>64.723215273353304</v>
      </c>
      <c r="G262" s="6">
        <v>6.0398250219453598</v>
      </c>
      <c r="H262" s="6">
        <v>112.924523864474</v>
      </c>
    </row>
    <row r="263" spans="1:8" ht="15" customHeight="1" x14ac:dyDescent="0.25">
      <c r="A263" s="8" t="s">
        <v>304</v>
      </c>
      <c r="B263" s="5">
        <v>109.259522937593</v>
      </c>
      <c r="C263" s="5">
        <v>111.4971429734</v>
      </c>
      <c r="D263" s="9">
        <v>4040.3600027901798</v>
      </c>
      <c r="E263" s="6">
        <v>2.8995714301154698</v>
      </c>
      <c r="F263" s="6">
        <v>67.686546815543295</v>
      </c>
      <c r="G263" s="6">
        <v>-3.05888041872372</v>
      </c>
      <c r="H263" s="6">
        <v>128.392143788792</v>
      </c>
    </row>
    <row r="264" spans="1:8" ht="15" customHeight="1" x14ac:dyDescent="0.25">
      <c r="A264" s="8" t="s">
        <v>305</v>
      </c>
      <c r="B264" s="5">
        <v>114.339048113142</v>
      </c>
      <c r="C264" s="5">
        <v>117.66381000337201</v>
      </c>
      <c r="D264" s="9">
        <v>3898.9466843378</v>
      </c>
      <c r="E264" s="6">
        <v>3.1405237969897999</v>
      </c>
      <c r="F264" s="6">
        <v>60.244814886548497</v>
      </c>
      <c r="G264" s="6">
        <v>-8.0109401779118699</v>
      </c>
      <c r="H264" s="6">
        <v>162.711470803141</v>
      </c>
    </row>
    <row r="265" spans="1:8" ht="15" customHeight="1" x14ac:dyDescent="0.25">
      <c r="A265" s="8" t="s">
        <v>306</v>
      </c>
      <c r="B265" s="5">
        <v>99.384499740600603</v>
      </c>
      <c r="C265" s="5">
        <v>104.704999542236</v>
      </c>
      <c r="D265" s="9">
        <v>3911.7294921875</v>
      </c>
      <c r="E265" s="6">
        <v>2.8917500019073499</v>
      </c>
      <c r="F265" s="6">
        <v>37.213648742164096</v>
      </c>
      <c r="G265" s="6">
        <v>-10.357769321531901</v>
      </c>
      <c r="H265" s="6">
        <v>158.332143624624</v>
      </c>
    </row>
    <row r="266" spans="1:8" ht="15" customHeight="1" x14ac:dyDescent="0.25">
      <c r="A266" s="8" t="s">
        <v>307</v>
      </c>
      <c r="B266" s="5">
        <v>91.482608629309595</v>
      </c>
      <c r="C266" s="5">
        <v>97.740868941597299</v>
      </c>
      <c r="D266" s="9">
        <v>4158.5630838145398</v>
      </c>
      <c r="E266" s="6">
        <v>2.8993043173914401</v>
      </c>
      <c r="F266" s="6">
        <v>35.106729986573001</v>
      </c>
      <c r="G266" s="6">
        <v>-6.6323553441665704</v>
      </c>
      <c r="H266" s="6">
        <v>162.144067942389</v>
      </c>
    </row>
    <row r="267" spans="1:8" ht="15" customHeight="1" x14ac:dyDescent="0.25">
      <c r="A267" s="8" t="s">
        <v>308</v>
      </c>
      <c r="B267" s="5">
        <v>83.801904950823101</v>
      </c>
      <c r="C267" s="5">
        <v>90.324761163620707</v>
      </c>
      <c r="D267" s="9">
        <v>3850.5204961867598</v>
      </c>
      <c r="E267" s="6">
        <v>3.5168095316205701</v>
      </c>
      <c r="F267" s="6">
        <v>17.132131806103001</v>
      </c>
      <c r="G267" s="6">
        <v>-13.384704159562601</v>
      </c>
      <c r="H267" s="6">
        <v>214.56190517970501</v>
      </c>
    </row>
    <row r="268" spans="1:8" ht="15" customHeight="1" x14ac:dyDescent="0.25">
      <c r="A268" s="8" t="s">
        <v>309</v>
      </c>
      <c r="B268" s="5">
        <v>87.030952453613295</v>
      </c>
      <c r="C268" s="5">
        <v>93.593809581938302</v>
      </c>
      <c r="D268" s="9">
        <v>3726.0509556361599</v>
      </c>
      <c r="E268" s="6">
        <v>3.9708095050993402</v>
      </c>
      <c r="F268" s="6">
        <v>7.1508133427092</v>
      </c>
      <c r="G268" s="6">
        <v>-16.469499326256798</v>
      </c>
      <c r="H268" s="6">
        <v>239.36190264565599</v>
      </c>
    </row>
    <row r="269" spans="1:8" ht="15" customHeight="1" x14ac:dyDescent="0.25">
      <c r="A269" s="8" t="s">
        <v>310</v>
      </c>
      <c r="B269" s="5">
        <v>84.385714576357898</v>
      </c>
      <c r="C269" s="5">
        <v>91.114285786946596</v>
      </c>
      <c r="D269" s="9">
        <v>3917.4885951450901</v>
      </c>
      <c r="E269" s="6">
        <v>3.88604764711289</v>
      </c>
      <c r="F269" s="6">
        <v>7.2875113176689199</v>
      </c>
      <c r="G269" s="6">
        <v>-16.066765199575499</v>
      </c>
      <c r="H269" s="6">
        <v>232.942860467093</v>
      </c>
    </row>
    <row r="270" spans="1:8" ht="15" customHeight="1" x14ac:dyDescent="0.25">
      <c r="A270" s="8" t="s">
        <v>311</v>
      </c>
      <c r="B270" s="5">
        <v>76.518095107305598</v>
      </c>
      <c r="C270" s="5">
        <v>81.341428484235493</v>
      </c>
      <c r="D270" s="9">
        <v>3912.38095238095</v>
      </c>
      <c r="E270" s="6">
        <v>3.6185714290255602</v>
      </c>
      <c r="F270" s="6">
        <v>6.7346831527520497</v>
      </c>
      <c r="G270" s="6">
        <v>-16.308639083006</v>
      </c>
      <c r="H270" s="6">
        <v>215.67077974736401</v>
      </c>
    </row>
    <row r="271" spans="1:8" ht="15" customHeight="1" x14ac:dyDescent="0.25">
      <c r="A271" s="8" t="s">
        <v>312</v>
      </c>
      <c r="B271" s="5">
        <v>78.164000320434596</v>
      </c>
      <c r="C271" s="5">
        <v>83.879000091552697</v>
      </c>
      <c r="D271" s="9">
        <v>3960.6565307617202</v>
      </c>
      <c r="E271" s="6">
        <v>3.5390500068664599</v>
      </c>
      <c r="F271" s="6">
        <v>-5.80267268321583</v>
      </c>
      <c r="G271" s="6">
        <v>-13.4058518427978</v>
      </c>
      <c r="H271" s="6">
        <v>177.66500055789999</v>
      </c>
    </row>
    <row r="272" spans="1:8" ht="15" customHeight="1" x14ac:dyDescent="0.25">
      <c r="A272" s="8" t="s">
        <v>313</v>
      </c>
      <c r="B272" s="5">
        <v>76.860525833932996</v>
      </c>
      <c r="C272" s="5">
        <v>83.509473298725297</v>
      </c>
      <c r="D272" s="9">
        <v>4079.6847245065801</v>
      </c>
      <c r="E272" s="6">
        <v>3.7481578902194399</v>
      </c>
      <c r="F272" s="6">
        <v>-16.117636933609301</v>
      </c>
      <c r="G272" s="6">
        <v>-8.0319507804032799</v>
      </c>
      <c r="H272" s="6">
        <v>181.03157909292901</v>
      </c>
    </row>
    <row r="273" spans="1:8" ht="15" customHeight="1" x14ac:dyDescent="0.25">
      <c r="A273" s="8" t="s">
        <v>314</v>
      </c>
      <c r="B273" s="5">
        <v>73.372609345809295</v>
      </c>
      <c r="C273" s="5">
        <v>79.206956282905907</v>
      </c>
      <c r="D273" s="9">
        <v>3968.5591457201099</v>
      </c>
      <c r="E273" s="6">
        <v>3.66460869623267</v>
      </c>
      <c r="F273" s="6">
        <v>-32.226920327027301</v>
      </c>
      <c r="G273" s="6">
        <v>-9.6260665879708203</v>
      </c>
      <c r="H273" s="6">
        <v>153.59999926193899</v>
      </c>
    </row>
    <row r="274" spans="1:8" ht="15" customHeight="1" x14ac:dyDescent="0.25">
      <c r="A274" s="8" t="s">
        <v>315</v>
      </c>
      <c r="B274" s="5">
        <v>79.438421550550004</v>
      </c>
      <c r="C274" s="5">
        <v>83.368947882401301</v>
      </c>
      <c r="D274" s="9">
        <v>4121.46736225329</v>
      </c>
      <c r="E274" s="6">
        <v>3.4625789491753798</v>
      </c>
      <c r="F274" s="6">
        <v>-21.8437316383744</v>
      </c>
      <c r="G274" s="6">
        <v>-6.1446241401282196</v>
      </c>
      <c r="H274" s="6">
        <v>71.542894526531796</v>
      </c>
    </row>
    <row r="275" spans="1:8" ht="15" customHeight="1" x14ac:dyDescent="0.25">
      <c r="A275" s="8" t="s">
        <v>316</v>
      </c>
      <c r="B275" s="5">
        <v>71.620909257368595</v>
      </c>
      <c r="C275" s="5">
        <v>75.632273587313605</v>
      </c>
      <c r="D275" s="9">
        <v>4146.17319557884</v>
      </c>
      <c r="E275" s="6">
        <v>3.5740454522046199</v>
      </c>
      <c r="F275" s="6">
        <v>-34.448817520210902</v>
      </c>
      <c r="G275" s="6">
        <v>2.6189050657759299</v>
      </c>
      <c r="H275" s="6">
        <v>67.447402208914497</v>
      </c>
    </row>
    <row r="276" spans="1:8" ht="15" customHeight="1" x14ac:dyDescent="0.25">
      <c r="A276" s="8" t="s">
        <v>317</v>
      </c>
      <c r="B276" s="5">
        <v>70.274285452706494</v>
      </c>
      <c r="C276" s="5">
        <v>74.925713675362701</v>
      </c>
      <c r="D276" s="9">
        <v>4345.3728376116096</v>
      </c>
      <c r="E276" s="6">
        <v>3.74719048681713</v>
      </c>
      <c r="F276" s="6">
        <v>-38.5386824427924</v>
      </c>
      <c r="G276" s="6">
        <v>11.4499168472121</v>
      </c>
      <c r="H276" s="6">
        <v>60.666668982732901</v>
      </c>
    </row>
    <row r="277" spans="1:8" ht="15" customHeight="1" x14ac:dyDescent="0.25">
      <c r="A277" s="8" t="s">
        <v>318</v>
      </c>
      <c r="B277" s="5">
        <v>76.034499740600594</v>
      </c>
      <c r="C277" s="5">
        <v>80.3554996490479</v>
      </c>
      <c r="D277" s="9">
        <v>4508.0754882812498</v>
      </c>
      <c r="E277" s="6">
        <v>3.8950000286102302</v>
      </c>
      <c r="F277" s="6">
        <v>-23.494609381689202</v>
      </c>
      <c r="G277" s="6">
        <v>15.2450724745863</v>
      </c>
      <c r="H277" s="6">
        <v>100.325002670288</v>
      </c>
    </row>
    <row r="278" spans="1:8" ht="15" customHeight="1" x14ac:dyDescent="0.25">
      <c r="A278" s="8" t="s">
        <v>319</v>
      </c>
      <c r="B278" s="5">
        <v>81.320869777513593</v>
      </c>
      <c r="C278" s="5">
        <v>85.104347560716704</v>
      </c>
      <c r="D278" s="9">
        <v>4457.3586744225504</v>
      </c>
      <c r="E278" s="6">
        <v>4.1674348167751099</v>
      </c>
      <c r="F278" s="6">
        <v>-11.1078367834609</v>
      </c>
      <c r="G278" s="6">
        <v>7.1850681253568602</v>
      </c>
      <c r="H278" s="6">
        <v>126.813049938368</v>
      </c>
    </row>
    <row r="279" spans="1:8" ht="15" customHeight="1" x14ac:dyDescent="0.25">
      <c r="A279" s="8" t="s">
        <v>320</v>
      </c>
      <c r="B279" s="5">
        <v>89.430500030517607</v>
      </c>
      <c r="C279" s="5">
        <v>92.766499328613307</v>
      </c>
      <c r="D279" s="9">
        <v>4409.0949951171897</v>
      </c>
      <c r="E279" s="6">
        <v>4.3753499984741202</v>
      </c>
      <c r="F279" s="6">
        <v>6.7165478911218797</v>
      </c>
      <c r="G279" s="6">
        <v>14.5064673589869</v>
      </c>
      <c r="H279" s="6">
        <v>85.854046685355101</v>
      </c>
    </row>
    <row r="280" spans="1:8" ht="15" customHeight="1" x14ac:dyDescent="0.25">
      <c r="A280" s="8" t="s">
        <v>321</v>
      </c>
      <c r="B280" s="5">
        <v>85.466818376020996</v>
      </c>
      <c r="C280" s="5">
        <v>88.704091158780201</v>
      </c>
      <c r="D280" s="9">
        <v>4269.4009454900597</v>
      </c>
      <c r="E280" s="6">
        <v>4.7979545159773398</v>
      </c>
      <c r="F280" s="6">
        <v>-1.7972158565379399</v>
      </c>
      <c r="G280" s="6">
        <v>14.582462674913399</v>
      </c>
      <c r="H280" s="6">
        <v>82.714501087799704</v>
      </c>
    </row>
    <row r="281" spans="1:8" ht="15" customHeight="1" x14ac:dyDescent="0.25">
      <c r="A281" s="8" t="s">
        <v>322</v>
      </c>
      <c r="B281" s="5">
        <v>77.376667204357304</v>
      </c>
      <c r="C281" s="5">
        <v>82.027727300470502</v>
      </c>
      <c r="D281" s="9">
        <v>4460.0633138020803</v>
      </c>
      <c r="E281" s="6">
        <v>4.5047619229271296</v>
      </c>
      <c r="F281" s="6">
        <v>-8.3059643533127794</v>
      </c>
      <c r="G281" s="6">
        <v>13.8500650475257</v>
      </c>
      <c r="H281" s="6">
        <v>61.871427581423802</v>
      </c>
    </row>
    <row r="282" spans="1:8" ht="15" customHeight="1" x14ac:dyDescent="0.25">
      <c r="A282" s="8" t="s">
        <v>323</v>
      </c>
      <c r="B282" s="5">
        <v>72.123500061035202</v>
      </c>
      <c r="C282" s="5">
        <v>77.323999786377001</v>
      </c>
      <c r="D282" s="9">
        <v>4685.0514892578103</v>
      </c>
      <c r="E282" s="6">
        <v>4.0227499723434503</v>
      </c>
      <c r="F282" s="6">
        <v>-5.7432102042107402</v>
      </c>
      <c r="G282" s="6">
        <v>19.7493686397445</v>
      </c>
      <c r="H282" s="6">
        <v>40.417854331788597</v>
      </c>
    </row>
    <row r="283" spans="1:8" ht="15" customHeight="1" x14ac:dyDescent="0.25">
      <c r="A283" s="8" t="s">
        <v>324</v>
      </c>
      <c r="B283" s="5">
        <v>73.860952104841004</v>
      </c>
      <c r="C283" s="5">
        <v>79.197143191383006</v>
      </c>
      <c r="D283" s="9">
        <v>4804.49151320685</v>
      </c>
      <c r="E283" s="6">
        <v>4.0547142823537197</v>
      </c>
      <c r="F283" s="6">
        <v>-5.5051535207425299</v>
      </c>
      <c r="G283" s="6">
        <v>21.3054319628882</v>
      </c>
      <c r="H283" s="6">
        <v>51.566427548726402</v>
      </c>
    </row>
    <row r="284" spans="1:8" ht="15" customHeight="1" x14ac:dyDescent="0.25">
      <c r="A284" s="8" t="s">
        <v>325</v>
      </c>
      <c r="B284" s="5">
        <v>76.610000228881802</v>
      </c>
      <c r="C284" s="5">
        <v>81.623999404907195</v>
      </c>
      <c r="D284" s="9">
        <v>5011.96142578125</v>
      </c>
      <c r="E284" s="6">
        <v>4.2117000102996798</v>
      </c>
      <c r="F284" s="6">
        <v>-0.32594833607103602</v>
      </c>
      <c r="G284" s="6">
        <v>22.851684976402801</v>
      </c>
      <c r="H284" s="6">
        <v>46.354212008024497</v>
      </c>
    </row>
    <row r="285" spans="1:8" ht="15" customHeight="1" x14ac:dyDescent="0.25">
      <c r="A285" s="8" t="s">
        <v>326</v>
      </c>
      <c r="B285" s="5">
        <v>80.4049999237061</v>
      </c>
      <c r="C285" s="5">
        <v>84.665499496460001</v>
      </c>
      <c r="D285" s="9">
        <v>5170.5724853515603</v>
      </c>
      <c r="E285" s="6">
        <v>4.2080999851226801</v>
      </c>
      <c r="F285" s="6">
        <v>9.5844902349768297</v>
      </c>
      <c r="G285" s="6">
        <v>30.2884068372211</v>
      </c>
      <c r="H285" s="6">
        <v>54.349128889001001</v>
      </c>
    </row>
    <row r="286" spans="1:8" ht="15" customHeight="1" x14ac:dyDescent="0.25">
      <c r="A286" s="8" t="s">
        <v>327</v>
      </c>
      <c r="B286" s="5">
        <v>84.394091172651798</v>
      </c>
      <c r="C286" s="5">
        <v>88.999999306418701</v>
      </c>
      <c r="D286" s="9">
        <v>5112.4927423650597</v>
      </c>
      <c r="E286" s="6">
        <v>4.5383181355216298</v>
      </c>
      <c r="F286" s="6">
        <v>6.2383787660588803</v>
      </c>
      <c r="G286" s="6">
        <v>24.045450151762299</v>
      </c>
      <c r="H286" s="6">
        <v>107.573918634625</v>
      </c>
    </row>
    <row r="287" spans="1:8" ht="15" customHeight="1" x14ac:dyDescent="0.25">
      <c r="A287" s="8" t="s">
        <v>328</v>
      </c>
      <c r="B287" s="5">
        <v>78.621364246715203</v>
      </c>
      <c r="C287" s="5">
        <v>82.991818514737204</v>
      </c>
      <c r="D287" s="9">
        <v>5235.2254971590901</v>
      </c>
      <c r="E287" s="6">
        <v>4.4819545095617102</v>
      </c>
      <c r="F287" s="6">
        <v>9.7743173912949999</v>
      </c>
      <c r="G287" s="6">
        <v>26.266444989358799</v>
      </c>
      <c r="H287" s="6">
        <v>90.790905735709401</v>
      </c>
    </row>
    <row r="288" spans="1:8" ht="15" customHeight="1" x14ac:dyDescent="0.25">
      <c r="A288" s="8" t="s">
        <v>329</v>
      </c>
      <c r="B288" s="5">
        <v>78.6984212774979</v>
      </c>
      <c r="C288" s="5">
        <v>82.889474166067004</v>
      </c>
      <c r="D288" s="9">
        <v>5415.1404965049296</v>
      </c>
      <c r="E288" s="6">
        <v>4.3051052344472804</v>
      </c>
      <c r="F288" s="6">
        <v>11.987508333273301</v>
      </c>
      <c r="G288" s="6">
        <v>24.618547104494599</v>
      </c>
      <c r="H288" s="6">
        <v>55.791474763014598</v>
      </c>
    </row>
    <row r="289" spans="1:8" ht="15" customHeight="1" x14ac:dyDescent="0.25">
      <c r="A289" s="8" t="s">
        <v>330</v>
      </c>
      <c r="B289" s="5">
        <v>80.481363816694795</v>
      </c>
      <c r="C289" s="5">
        <v>83.717727314342198</v>
      </c>
      <c r="D289" s="9">
        <v>5538.0045720880698</v>
      </c>
      <c r="E289" s="6">
        <v>4.2460909106514704</v>
      </c>
      <c r="F289" s="6">
        <v>5.8484820591509603</v>
      </c>
      <c r="G289" s="6">
        <v>22.846314053172399</v>
      </c>
      <c r="H289" s="6">
        <v>35.1090882041238</v>
      </c>
    </row>
    <row r="290" spans="1:8" ht="15" customHeight="1" x14ac:dyDescent="0.25">
      <c r="A290" s="8" t="s">
        <v>331</v>
      </c>
      <c r="B290" s="5">
        <v>75.433636752041906</v>
      </c>
      <c r="C290" s="5">
        <v>78.875001387162598</v>
      </c>
      <c r="D290" s="9">
        <v>5478.2145774147702</v>
      </c>
      <c r="E290" s="6">
        <v>3.8704091093756898</v>
      </c>
      <c r="F290" s="6">
        <v>-7.2395106466256598</v>
      </c>
      <c r="G290" s="6">
        <v>22.902709374727898</v>
      </c>
      <c r="H290" s="6">
        <v>-29.7025707399421</v>
      </c>
    </row>
    <row r="291" spans="1:8" ht="15" customHeight="1" x14ac:dyDescent="0.25">
      <c r="A291" s="8" t="s">
        <v>332</v>
      </c>
      <c r="B291" s="5">
        <v>69.372499465942397</v>
      </c>
      <c r="C291" s="5">
        <v>72.638499450683597</v>
      </c>
      <c r="D291" s="9">
        <v>5621.2604492187502</v>
      </c>
      <c r="E291" s="6">
        <v>3.7196500062942501</v>
      </c>
      <c r="F291" s="6">
        <v>-22.428590422429199</v>
      </c>
      <c r="G291" s="6">
        <v>27.492386883112399</v>
      </c>
      <c r="H291" s="6">
        <v>-65.569999217987103</v>
      </c>
    </row>
    <row r="292" spans="1:8" ht="15" customHeight="1" x14ac:dyDescent="0.25">
      <c r="A292" s="8" t="s">
        <v>333</v>
      </c>
      <c r="B292" s="5">
        <v>71.561738387398094</v>
      </c>
      <c r="C292" s="5">
        <v>75.3769571055537</v>
      </c>
      <c r="D292" s="9">
        <v>5792.3195482336996</v>
      </c>
      <c r="E292" s="6">
        <v>4.0929130367610798</v>
      </c>
      <c r="F292" s="6">
        <v>-16.269565490838701</v>
      </c>
      <c r="G292" s="6">
        <v>35.670545404089097</v>
      </c>
      <c r="H292" s="6">
        <v>-70.504147921626299</v>
      </c>
    </row>
    <row r="293" spans="1:8" ht="15" customHeight="1" x14ac:dyDescent="0.25">
      <c r="A293" s="8" t="s">
        <v>334</v>
      </c>
      <c r="B293" s="5">
        <v>69.543999862670901</v>
      </c>
      <c r="C293" s="5">
        <v>73.406999969482399</v>
      </c>
      <c r="D293" s="9">
        <v>5929.9159912109399</v>
      </c>
      <c r="E293" s="6">
        <v>4.3548500776290897</v>
      </c>
      <c r="F293" s="6">
        <v>-10.1227768327108</v>
      </c>
      <c r="G293" s="6">
        <v>32.9558702196056</v>
      </c>
      <c r="H293" s="6">
        <v>-14.991184529804</v>
      </c>
    </row>
    <row r="294" spans="1:8" ht="15" customHeight="1" x14ac:dyDescent="0.25">
      <c r="A294" s="8" t="s">
        <v>335</v>
      </c>
      <c r="B294" s="5">
        <v>69.697619120279995</v>
      </c>
      <c r="C294" s="5">
        <v>73.128571646554093</v>
      </c>
      <c r="D294" s="9">
        <v>6010.9085518973197</v>
      </c>
      <c r="E294" s="6">
        <v>4.3914285841442302</v>
      </c>
      <c r="F294" s="6">
        <v>-3.36350972803911</v>
      </c>
      <c r="G294" s="6">
        <v>28.299733005699501</v>
      </c>
      <c r="H294" s="6">
        <v>36.8678611800784</v>
      </c>
    </row>
    <row r="295" spans="1:8" ht="15" customHeight="1" x14ac:dyDescent="0.25">
      <c r="A295" s="8" t="s">
        <v>336</v>
      </c>
      <c r="B295" s="5">
        <v>75.098095121837801</v>
      </c>
      <c r="C295" s="5">
        <v>78.263334365118098</v>
      </c>
      <c r="D295" s="9">
        <v>5979.5155273437504</v>
      </c>
      <c r="E295" s="6">
        <v>4.6275999784469599</v>
      </c>
      <c r="F295" s="6">
        <v>1.67496218467478</v>
      </c>
      <c r="G295" s="6">
        <v>24.456781969682702</v>
      </c>
      <c r="H295" s="6">
        <v>57.288569609324199</v>
      </c>
    </row>
    <row r="296" spans="1:8" ht="15" customHeight="1" x14ac:dyDescent="0.25">
      <c r="A296" s="8" t="s">
        <v>337</v>
      </c>
      <c r="B296" s="5">
        <v>71.208947432668595</v>
      </c>
      <c r="C296" s="5">
        <v>74.940526058799307</v>
      </c>
      <c r="D296" s="9">
        <v>6038.6899671052597</v>
      </c>
      <c r="E296" s="6">
        <v>4.4486316128781001</v>
      </c>
      <c r="F296" s="6">
        <v>-7.0500623679375298</v>
      </c>
      <c r="G296" s="6">
        <v>20.4855635169612</v>
      </c>
      <c r="H296" s="6">
        <v>23.693160257841399</v>
      </c>
    </row>
    <row r="297" spans="1:8" ht="15" customHeight="1" x14ac:dyDescent="0.25">
      <c r="A297" s="8" t="s">
        <v>338</v>
      </c>
      <c r="B297" s="5">
        <v>67.939524695986805</v>
      </c>
      <c r="C297" s="5">
        <v>71.467142377580899</v>
      </c>
      <c r="D297" s="9">
        <v>5683.9833519345202</v>
      </c>
      <c r="E297" s="6">
        <v>4.2777618680681497</v>
      </c>
      <c r="F297" s="6">
        <v>-15.503358298050401</v>
      </c>
      <c r="G297" s="6">
        <v>9.9294781774643894</v>
      </c>
      <c r="H297" s="6">
        <v>6.9661882945468703</v>
      </c>
    </row>
    <row r="298" spans="1:8" ht="15" customHeight="1" x14ac:dyDescent="0.25">
      <c r="A298" s="8" t="s">
        <v>339</v>
      </c>
      <c r="B298" s="5">
        <v>62.962380727132199</v>
      </c>
      <c r="C298" s="5">
        <v>66.456667037237295</v>
      </c>
      <c r="D298" s="9">
        <v>5369.4957217261899</v>
      </c>
      <c r="E298" s="6">
        <v>4.2720476218632299</v>
      </c>
      <c r="F298" s="6">
        <v>-25.3947997398006</v>
      </c>
      <c r="G298" s="6">
        <v>5.0269602777419902</v>
      </c>
      <c r="H298" s="6">
        <v>-26.62705136584</v>
      </c>
    </row>
    <row r="299" spans="1:8" ht="15" customHeight="1" x14ac:dyDescent="0.25">
      <c r="A299" s="8" t="s">
        <v>340</v>
      </c>
      <c r="B299" s="5">
        <v>60.935238247826</v>
      </c>
      <c r="C299" s="5">
        <v>63.970476241338801</v>
      </c>
      <c r="D299" s="9">
        <v>5810.9194800967298</v>
      </c>
      <c r="E299" s="6">
        <v>4.4272380783444403</v>
      </c>
      <c r="F299" s="6">
        <v>-22.495318121661999</v>
      </c>
      <c r="G299" s="6">
        <v>10.996546056135299</v>
      </c>
      <c r="H299" s="6">
        <v>-5.4716431217276096</v>
      </c>
    </row>
    <row r="300" spans="1:8" ht="15" customHeight="1" x14ac:dyDescent="0.25">
      <c r="A300" s="8" t="s">
        <v>341</v>
      </c>
      <c r="B300" s="5">
        <v>67.326000022888195</v>
      </c>
      <c r="C300" s="5">
        <v>69.349999999999994</v>
      </c>
      <c r="D300" s="9">
        <v>6029.9515136718801</v>
      </c>
      <c r="E300" s="6">
        <v>4.3814500093460103</v>
      </c>
      <c r="F300" s="6">
        <v>-14.4506345489569</v>
      </c>
      <c r="G300" s="6">
        <v>11.353556155445199</v>
      </c>
      <c r="H300" s="6">
        <v>7.6344774898729799</v>
      </c>
    </row>
    <row r="301" spans="1:8" ht="15" customHeight="1" x14ac:dyDescent="0.25">
      <c r="A301" s="8" t="s">
        <v>342</v>
      </c>
      <c r="B301" s="5">
        <v>67.210868835449205</v>
      </c>
      <c r="C301" s="5">
        <v>69.553043531334893</v>
      </c>
      <c r="D301" s="9">
        <v>6296.4981800426103</v>
      </c>
      <c r="E301" s="6">
        <v>4.3843182000246896</v>
      </c>
      <c r="F301" s="6">
        <v>-16.4889042033018</v>
      </c>
      <c r="G301" s="6">
        <v>13.696153516691</v>
      </c>
      <c r="H301" s="6">
        <v>13.8227289373225</v>
      </c>
    </row>
    <row r="302" spans="1:8" ht="15" customHeight="1" x14ac:dyDescent="0.25">
      <c r="A302" s="8" t="s">
        <v>343</v>
      </c>
      <c r="B302" s="5">
        <v>64.019047873360805</v>
      </c>
      <c r="C302" s="5">
        <v>67.261428469703304</v>
      </c>
      <c r="D302" s="9">
        <v>6408.9494745163702</v>
      </c>
      <c r="E302" s="6">
        <v>4.2630476043337904</v>
      </c>
      <c r="F302" s="6">
        <v>-15.131961509693699</v>
      </c>
      <c r="G302" s="6">
        <v>16.9897488305546</v>
      </c>
      <c r="H302" s="6">
        <v>39.263849495809403</v>
      </c>
    </row>
    <row r="303" spans="1:8" ht="15" customHeight="1" x14ac:dyDescent="0.25">
      <c r="A303" s="8" t="s">
        <v>344</v>
      </c>
      <c r="B303" s="5">
        <v>63.5338091169085</v>
      </c>
      <c r="C303" s="5">
        <v>67.548570542108493</v>
      </c>
      <c r="D303" s="9">
        <v>6584.0180896577403</v>
      </c>
      <c r="E303" s="6">
        <v>4.1148094903855101</v>
      </c>
      <c r="F303" s="6">
        <v>-8.4164335925366807</v>
      </c>
      <c r="G303" s="6">
        <v>17.127077621404201</v>
      </c>
      <c r="H303" s="6">
        <v>39.515948409125897</v>
      </c>
    </row>
    <row r="304" spans="1:8" ht="15" customHeight="1" x14ac:dyDescent="0.25">
      <c r="A304" s="8" t="s">
        <v>345</v>
      </c>
      <c r="B304" s="5">
        <v>60.069565316905198</v>
      </c>
      <c r="C304" s="5">
        <v>63.953912983770003</v>
      </c>
      <c r="D304" s="9">
        <v>6735.6917246942903</v>
      </c>
      <c r="E304" s="6">
        <v>4.0501739045848</v>
      </c>
      <c r="F304" s="6">
        <v>-16.0591027125142</v>
      </c>
      <c r="G304" s="6">
        <v>16.286604504550699</v>
      </c>
      <c r="H304" s="6">
        <v>-4.2739132176274497</v>
      </c>
    </row>
    <row r="305" spans="1:8" ht="15" customHeight="1" x14ac:dyDescent="0.25">
      <c r="A305" s="8" t="s">
        <v>346</v>
      </c>
      <c r="B305" s="5">
        <v>59.479473917107804</v>
      </c>
      <c r="C305" s="5">
        <v>63.679473676179597</v>
      </c>
      <c r="D305" s="9">
        <v>6740.8857678865097</v>
      </c>
      <c r="E305" s="6">
        <v>4.0897894784023903</v>
      </c>
      <c r="F305" s="6">
        <v>-14.472170087193099</v>
      </c>
      <c r="G305" s="6">
        <v>13.675906671824</v>
      </c>
      <c r="H305" s="6">
        <v>-26.506059922670101</v>
      </c>
    </row>
    <row r="306" spans="1:8" ht="15" customHeight="1" x14ac:dyDescent="0.25">
      <c r="A306" s="8" t="s">
        <v>347</v>
      </c>
      <c r="B306" s="5">
        <v>57.866363525390597</v>
      </c>
      <c r="C306" s="5">
        <v>61.628635926680097</v>
      </c>
      <c r="D306" s="9">
        <v>6853.0254572088097</v>
      </c>
      <c r="E306" s="6">
        <v>4.1414091370322499</v>
      </c>
      <c r="F306" s="6">
        <v>-16.975121595576599</v>
      </c>
      <c r="G306" s="6">
        <v>14.0098106308018</v>
      </c>
      <c r="H306" s="6">
        <v>-25.001944711198</v>
      </c>
    </row>
    <row r="307" spans="1:8" ht="15" customHeight="1" x14ac:dyDescent="0.25">
      <c r="A307" s="8" t="s">
        <v>348</v>
      </c>
      <c r="B307" s="5">
        <v>60.259499740600603</v>
      </c>
      <c r="C307" s="5">
        <v>64.765499114990206</v>
      </c>
      <c r="D307" s="9">
        <v>6929.1219726562504</v>
      </c>
      <c r="E307" s="6">
        <v>4.2051499605178799</v>
      </c>
      <c r="F307" s="6">
        <v>-19.758950419665599</v>
      </c>
      <c r="G307" s="6">
        <v>15.880993049855601</v>
      </c>
      <c r="H307" s="6">
        <v>-42.245001792907701</v>
      </c>
    </row>
    <row r="308" spans="1:8" ht="15" customHeight="1" x14ac:dyDescent="0.25">
      <c r="A308" s="8" t="s">
        <v>349</v>
      </c>
      <c r="B308" s="5">
        <v>64.523157220137804</v>
      </c>
      <c r="C308" s="5">
        <v>69.406842683491007</v>
      </c>
      <c r="D308" s="9">
        <v>6893.8062808388204</v>
      </c>
      <c r="E308" s="6">
        <v>4.1209473609924299</v>
      </c>
      <c r="F308" s="6">
        <v>-9.3889749161824998</v>
      </c>
      <c r="G308" s="6">
        <v>14.1606262019023</v>
      </c>
      <c r="H308" s="6">
        <v>-32.768425188566503</v>
      </c>
    </row>
    <row r="309" spans="1:8" ht="15" customHeight="1" x14ac:dyDescent="0.25">
      <c r="A309" s="8" t="s">
        <v>350</v>
      </c>
      <c r="B309" s="5">
        <v>90.997272491455107</v>
      </c>
      <c r="C309" s="5">
        <v>99.599545912309097</v>
      </c>
      <c r="D309" s="9">
        <v>6654.4191228693198</v>
      </c>
      <c r="E309" s="6">
        <v>4.2462272644043004</v>
      </c>
      <c r="F309" s="6">
        <v>33.938635718524999</v>
      </c>
      <c r="G309" s="6">
        <v>17.0731634990541</v>
      </c>
      <c r="H309" s="6">
        <v>-3.15346036638529</v>
      </c>
    </row>
    <row r="310" spans="1:8" ht="15" customHeight="1" x14ac:dyDescent="0.25">
      <c r="A310" s="8" t="s">
        <v>351</v>
      </c>
      <c r="B310" s="5">
        <v>98.060000465029802</v>
      </c>
      <c r="C310" s="5">
        <v>102.46428607759</v>
      </c>
      <c r="D310" s="9">
        <v>6957.0076264881</v>
      </c>
      <c r="E310" s="6">
        <v>4.3127618971325097</v>
      </c>
      <c r="F310" s="6">
        <v>55.7437938854385</v>
      </c>
      <c r="G310" s="6">
        <v>29.5653816863746</v>
      </c>
      <c r="H310" s="6">
        <v>4.0714275269281499</v>
      </c>
    </row>
    <row r="311" spans="1:8" ht="15" customHeight="1" x14ac:dyDescent="0.25">
      <c r="A311" s="8" t="s">
        <v>352</v>
      </c>
      <c r="B311" s="5">
        <v>99.323332468668596</v>
      </c>
      <c r="C311" s="5">
        <v>105.849999745687</v>
      </c>
      <c r="D311" s="9">
        <v>7298.5417480468795</v>
      </c>
      <c r="E311" s="6">
        <v>4.3919999599456796</v>
      </c>
      <c r="F311" s="6">
        <v>62.998185162937702</v>
      </c>
      <c r="G311" s="6">
        <v>25.6004625953858</v>
      </c>
      <c r="H311" s="6">
        <v>-3.5238118398757101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26" customWidth="1"/>
    <col min="2" max="2" width="12" customWidth="1"/>
    <col min="3" max="3" width="22" customWidth="1"/>
    <col min="4" max="12" width="14" customWidth="1"/>
  </cols>
  <sheetData>
    <row r="1" spans="1:12" ht="39.6" customHeight="1" x14ac:dyDescent="0.2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36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34</v>
      </c>
      <c r="K1" s="1" t="s">
        <v>361</v>
      </c>
      <c r="L1" s="1" t="s">
        <v>362</v>
      </c>
    </row>
    <row r="2" spans="1:12" ht="15" customHeight="1" x14ac:dyDescent="0.25">
      <c r="A2" s="10" t="s">
        <v>363</v>
      </c>
      <c r="B2" s="10" t="s">
        <v>364</v>
      </c>
      <c r="C2" s="10" t="s">
        <v>365</v>
      </c>
      <c r="D2" s="11">
        <v>53</v>
      </c>
      <c r="E2" s="6">
        <v>1.8</v>
      </c>
      <c r="F2" s="6">
        <v>7.5</v>
      </c>
      <c r="G2" s="6">
        <v>5.3</v>
      </c>
      <c r="H2" s="6">
        <v>15.7</v>
      </c>
      <c r="I2" s="6">
        <v>-6.6</v>
      </c>
      <c r="J2" s="6">
        <v>79.8</v>
      </c>
      <c r="K2" s="6">
        <v>-2.7</v>
      </c>
      <c r="L2" s="26">
        <v>11.89</v>
      </c>
    </row>
    <row r="3" spans="1:12" ht="15" customHeight="1" x14ac:dyDescent="0.25">
      <c r="A3" s="10" t="s">
        <v>366</v>
      </c>
      <c r="B3" s="10" t="s">
        <v>367</v>
      </c>
      <c r="C3" s="10" t="s">
        <v>368</v>
      </c>
      <c r="D3" s="11">
        <v>476</v>
      </c>
      <c r="E3" s="6">
        <v>6.88</v>
      </c>
      <c r="F3" s="6">
        <v>4.5</v>
      </c>
      <c r="G3" s="6">
        <v>3.19</v>
      </c>
      <c r="H3" s="6">
        <v>2.2400000000000002</v>
      </c>
      <c r="I3" s="6">
        <v>-4</v>
      </c>
      <c r="J3" s="6">
        <v>32.9</v>
      </c>
      <c r="K3" s="6">
        <v>6.1</v>
      </c>
      <c r="L3" s="26">
        <v>101.3</v>
      </c>
    </row>
    <row r="4" spans="1:12" ht="15" customHeight="1" x14ac:dyDescent="0.25">
      <c r="A4" s="10" t="s">
        <v>369</v>
      </c>
      <c r="B4" s="10" t="s">
        <v>370</v>
      </c>
      <c r="C4" s="10" t="s">
        <v>371</v>
      </c>
      <c r="D4" s="11">
        <v>125</v>
      </c>
      <c r="E4" s="6">
        <v>3.46</v>
      </c>
      <c r="F4" s="6">
        <v>8.5</v>
      </c>
      <c r="G4" s="6">
        <v>0.72</v>
      </c>
      <c r="H4" s="6">
        <v>4.5</v>
      </c>
      <c r="I4" s="6">
        <v>-1.9</v>
      </c>
      <c r="J4" s="6">
        <v>50.6</v>
      </c>
      <c r="K4" s="6">
        <v>2.8</v>
      </c>
      <c r="L4" s="26">
        <v>17.97</v>
      </c>
    </row>
    <row r="5" spans="1:12" ht="15" customHeight="1" x14ac:dyDescent="0.25">
      <c r="A5" s="10" t="s">
        <v>372</v>
      </c>
      <c r="B5" s="10" t="s">
        <v>370</v>
      </c>
      <c r="C5" s="10" t="s">
        <v>373</v>
      </c>
      <c r="D5" s="11">
        <v>126</v>
      </c>
      <c r="E5" s="6"/>
      <c r="F5" s="6"/>
      <c r="G5" s="6">
        <v>1.2</v>
      </c>
      <c r="H5" s="6">
        <v>5.7</v>
      </c>
      <c r="I5" s="6"/>
      <c r="J5" s="6"/>
      <c r="K5" s="6"/>
      <c r="L5" s="26">
        <v>3.2</v>
      </c>
    </row>
    <row r="6" spans="1:12" ht="15" customHeight="1" x14ac:dyDescent="0.25">
      <c r="A6" s="10" t="s">
        <v>374</v>
      </c>
      <c r="B6" s="10" t="s">
        <v>370</v>
      </c>
      <c r="C6" s="10" t="s">
        <v>375</v>
      </c>
      <c r="D6" s="11">
        <v>29185</v>
      </c>
      <c r="E6" s="6">
        <v>3</v>
      </c>
      <c r="F6" s="6">
        <v>4.5</v>
      </c>
      <c r="G6" s="6">
        <v>2.7</v>
      </c>
      <c r="H6" s="6">
        <v>4.2</v>
      </c>
      <c r="I6" s="6">
        <v>-6.4</v>
      </c>
      <c r="J6" s="6">
        <v>124.3</v>
      </c>
      <c r="K6" s="6">
        <v>-3.9</v>
      </c>
      <c r="L6" s="26">
        <v>341.15</v>
      </c>
    </row>
    <row r="7" spans="1:12" ht="15" customHeight="1" x14ac:dyDescent="0.25">
      <c r="A7" s="10" t="s">
        <v>376</v>
      </c>
      <c r="B7" s="10" t="s">
        <v>367</v>
      </c>
      <c r="C7" s="10" t="s">
        <v>377</v>
      </c>
      <c r="D7" s="11">
        <v>540</v>
      </c>
      <c r="E7" s="6">
        <v>0.9</v>
      </c>
      <c r="F7" s="6">
        <v>4.5</v>
      </c>
      <c r="G7" s="6">
        <v>3.1</v>
      </c>
      <c r="H7" s="6">
        <v>3</v>
      </c>
      <c r="I7" s="6">
        <v>-6.8</v>
      </c>
      <c r="J7" s="6">
        <v>69</v>
      </c>
      <c r="K7" s="6">
        <v>3.2</v>
      </c>
      <c r="L7" s="26">
        <v>9.9700000000000006</v>
      </c>
    </row>
    <row r="8" spans="1:12" ht="15" customHeight="1" x14ac:dyDescent="0.25">
      <c r="A8" s="10" t="s">
        <v>378</v>
      </c>
      <c r="B8" s="10" t="s">
        <v>379</v>
      </c>
      <c r="C8" s="10" t="s">
        <v>380</v>
      </c>
      <c r="D8" s="11">
        <v>3644</v>
      </c>
      <c r="E8" s="6">
        <v>0.3</v>
      </c>
      <c r="F8" s="6">
        <v>4</v>
      </c>
      <c r="G8" s="6">
        <v>3.8</v>
      </c>
      <c r="H8" s="6">
        <v>4.7</v>
      </c>
      <c r="I8" s="6">
        <v>-4.8</v>
      </c>
      <c r="J8" s="6">
        <v>95.9</v>
      </c>
      <c r="K8" s="6">
        <v>-2.7</v>
      </c>
      <c r="L8" s="26">
        <v>69.23</v>
      </c>
    </row>
    <row r="9" spans="1:12" ht="15" customHeight="1" x14ac:dyDescent="0.25">
      <c r="A9" s="10" t="s">
        <v>381</v>
      </c>
      <c r="B9" s="10" t="s">
        <v>367</v>
      </c>
      <c r="C9" s="10" t="s">
        <v>368</v>
      </c>
      <c r="D9" s="11">
        <v>74</v>
      </c>
      <c r="E9" s="6"/>
      <c r="F9" s="6">
        <v>9</v>
      </c>
      <c r="G9" s="6">
        <v>28.58</v>
      </c>
      <c r="H9" s="6">
        <v>3</v>
      </c>
      <c r="I9" s="6">
        <v>-5.7</v>
      </c>
      <c r="J9" s="6">
        <v>61.3</v>
      </c>
      <c r="K9" s="6">
        <v>-5.5</v>
      </c>
      <c r="L9" s="26">
        <v>54.5</v>
      </c>
    </row>
    <row r="10" spans="1:12" ht="15" customHeight="1" x14ac:dyDescent="0.25">
      <c r="A10" s="10" t="s">
        <v>382</v>
      </c>
      <c r="B10" s="10" t="s">
        <v>379</v>
      </c>
      <c r="C10" s="10" t="s">
        <v>383</v>
      </c>
      <c r="D10" s="11">
        <v>915</v>
      </c>
      <c r="E10" s="6">
        <v>0.8</v>
      </c>
      <c r="F10" s="6">
        <v>5</v>
      </c>
      <c r="G10" s="6">
        <v>3.1</v>
      </c>
      <c r="H10" s="6">
        <v>5.2</v>
      </c>
      <c r="I10" s="6">
        <v>-6.6</v>
      </c>
      <c r="J10" s="6">
        <v>55.3</v>
      </c>
      <c r="K10" s="6">
        <v>0</v>
      </c>
      <c r="L10" s="26">
        <v>36.5</v>
      </c>
    </row>
    <row r="11" spans="1:12" ht="15" customHeight="1" x14ac:dyDescent="0.25">
      <c r="A11" s="10" t="s">
        <v>384</v>
      </c>
      <c r="B11" s="10" t="s">
        <v>367</v>
      </c>
      <c r="C11" s="10" t="s">
        <v>385</v>
      </c>
      <c r="D11" s="11">
        <v>17</v>
      </c>
      <c r="E11" s="6"/>
      <c r="F11" s="6">
        <v>14.94</v>
      </c>
      <c r="G11" s="6">
        <v>0.2</v>
      </c>
      <c r="H11" s="6">
        <v>13.3</v>
      </c>
      <c r="I11" s="6">
        <v>-4.8</v>
      </c>
      <c r="J11" s="6">
        <v>8.3000000000000007</v>
      </c>
      <c r="K11" s="6">
        <v>-17.3</v>
      </c>
      <c r="L11" s="26">
        <v>35.700000000000003</v>
      </c>
    </row>
    <row r="12" spans="1:12" ht="15" customHeight="1" x14ac:dyDescent="0.25">
      <c r="A12" s="10" t="s">
        <v>386</v>
      </c>
      <c r="B12" s="10" t="s">
        <v>364</v>
      </c>
      <c r="C12" s="10" t="s">
        <v>387</v>
      </c>
      <c r="D12" s="11">
        <v>125</v>
      </c>
      <c r="E12" s="6">
        <v>0.8</v>
      </c>
      <c r="F12" s="6">
        <v>9.5</v>
      </c>
      <c r="G12" s="6">
        <v>4.0999999999999996</v>
      </c>
      <c r="H12" s="6">
        <v>5.4</v>
      </c>
      <c r="I12" s="6">
        <v>-4.9000000000000004</v>
      </c>
      <c r="J12" s="6">
        <v>65.5</v>
      </c>
      <c r="K12" s="6">
        <v>-3.6</v>
      </c>
      <c r="L12" s="26">
        <v>52.4</v>
      </c>
    </row>
    <row r="13" spans="1:12" ht="15" customHeight="1" x14ac:dyDescent="0.25">
      <c r="A13" s="10" t="s">
        <v>388</v>
      </c>
      <c r="B13" s="10" t="s">
        <v>364</v>
      </c>
      <c r="C13" s="10" t="s">
        <v>389</v>
      </c>
      <c r="D13" s="11">
        <v>80</v>
      </c>
      <c r="E13" s="6">
        <v>2.2999999999999998</v>
      </c>
      <c r="F13" s="6">
        <v>19.5</v>
      </c>
      <c r="G13" s="6">
        <v>19.48</v>
      </c>
      <c r="H13" s="6">
        <v>29.4</v>
      </c>
      <c r="I13" s="6">
        <v>-1.5</v>
      </c>
      <c r="J13" s="6">
        <v>58.2</v>
      </c>
      <c r="K13" s="6">
        <v>5.4</v>
      </c>
      <c r="L13" s="26">
        <v>35.119999999999997</v>
      </c>
    </row>
    <row r="14" spans="1:12" ht="15" customHeight="1" x14ac:dyDescent="0.25">
      <c r="A14" s="10" t="s">
        <v>390</v>
      </c>
      <c r="B14" s="10" t="s">
        <v>367</v>
      </c>
      <c r="C14" s="10" t="s">
        <v>385</v>
      </c>
      <c r="D14" s="11">
        <v>3</v>
      </c>
      <c r="E14" s="6"/>
      <c r="F14" s="6">
        <v>6.38</v>
      </c>
      <c r="G14" s="6">
        <v>3.65</v>
      </c>
      <c r="H14" s="6">
        <v>3.6</v>
      </c>
      <c r="I14" s="6">
        <v>-0.2</v>
      </c>
      <c r="J14" s="6">
        <v>107.78</v>
      </c>
      <c r="K14" s="6">
        <v>-21.7</v>
      </c>
      <c r="L14" s="26">
        <v>0.78</v>
      </c>
    </row>
    <row r="15" spans="1:12" ht="15" customHeight="1" x14ac:dyDescent="0.25">
      <c r="A15" s="10" t="s">
        <v>391</v>
      </c>
      <c r="B15" s="10" t="s">
        <v>379</v>
      </c>
      <c r="C15" s="10" t="s">
        <v>392</v>
      </c>
      <c r="D15" s="11">
        <v>24</v>
      </c>
      <c r="E15" s="6">
        <v>2.1</v>
      </c>
      <c r="F15" s="6">
        <v>2.15</v>
      </c>
      <c r="G15" s="6">
        <v>2.5</v>
      </c>
      <c r="H15" s="6">
        <v>2.7</v>
      </c>
      <c r="I15" s="6">
        <v>-3.7</v>
      </c>
      <c r="J15" s="6">
        <v>47.4</v>
      </c>
      <c r="K15" s="6">
        <v>5.7</v>
      </c>
      <c r="L15" s="26">
        <v>0.56999999999999995</v>
      </c>
    </row>
    <row r="16" spans="1:12" ht="15" customHeight="1" x14ac:dyDescent="0.25">
      <c r="A16" s="10" t="s">
        <v>393</v>
      </c>
      <c r="B16" s="10" t="s">
        <v>379</v>
      </c>
      <c r="C16" s="10" t="s">
        <v>394</v>
      </c>
      <c r="D16" s="11">
        <v>2174</v>
      </c>
      <c r="E16" s="6">
        <v>-0.8</v>
      </c>
      <c r="F16" s="6">
        <v>18</v>
      </c>
      <c r="G16" s="6">
        <v>8.8000000000000007</v>
      </c>
      <c r="H16" s="6">
        <v>2.2000000000000002</v>
      </c>
      <c r="I16" s="6">
        <v>-1.7</v>
      </c>
      <c r="J16" s="6">
        <v>16.399999999999999</v>
      </c>
      <c r="K16" s="6">
        <v>2.9</v>
      </c>
      <c r="L16" s="26">
        <v>146.19999999999999</v>
      </c>
    </row>
    <row r="17" spans="1:12" ht="15" customHeight="1" x14ac:dyDescent="0.25">
      <c r="A17" s="10" t="s">
        <v>395</v>
      </c>
      <c r="B17" s="10" t="s">
        <v>367</v>
      </c>
      <c r="C17" s="10" t="s">
        <v>385</v>
      </c>
      <c r="D17" s="11">
        <v>43</v>
      </c>
      <c r="E17" s="6"/>
      <c r="F17" s="6">
        <v>6</v>
      </c>
      <c r="G17" s="6">
        <v>2.72</v>
      </c>
      <c r="H17" s="6">
        <v>10.7</v>
      </c>
      <c r="I17" s="6">
        <v>-9</v>
      </c>
      <c r="J17" s="6">
        <v>42.6</v>
      </c>
      <c r="K17" s="6">
        <v>5.2</v>
      </c>
      <c r="L17" s="26">
        <v>29.65</v>
      </c>
    </row>
    <row r="18" spans="1:12" ht="15" customHeight="1" x14ac:dyDescent="0.25">
      <c r="A18" s="10" t="s">
        <v>396</v>
      </c>
      <c r="B18" s="10" t="s">
        <v>367</v>
      </c>
      <c r="C18" s="10" t="s">
        <v>377</v>
      </c>
      <c r="D18" s="11">
        <v>280</v>
      </c>
      <c r="E18" s="6"/>
      <c r="F18" s="6">
        <v>5.5</v>
      </c>
      <c r="G18" s="6">
        <v>-0.6</v>
      </c>
      <c r="H18" s="6">
        <v>15.5</v>
      </c>
      <c r="I18" s="6">
        <v>-1.5</v>
      </c>
      <c r="J18" s="6">
        <v>42.9</v>
      </c>
      <c r="K18" s="6">
        <v>-1.9</v>
      </c>
      <c r="L18" s="26">
        <v>46.04</v>
      </c>
    </row>
    <row r="19" spans="1:12" ht="15" customHeight="1" x14ac:dyDescent="0.25">
      <c r="A19" s="10" t="s">
        <v>397</v>
      </c>
      <c r="B19" s="10" t="s">
        <v>364</v>
      </c>
      <c r="C19" s="10" t="s">
        <v>365</v>
      </c>
      <c r="D19" s="11">
        <v>50</v>
      </c>
      <c r="E19" s="6"/>
      <c r="F19" s="6">
        <v>28.3</v>
      </c>
      <c r="G19" s="6">
        <v>146.6</v>
      </c>
      <c r="H19" s="6">
        <v>20.8</v>
      </c>
      <c r="I19" s="6">
        <v>-3.2</v>
      </c>
      <c r="J19" s="6">
        <v>272</v>
      </c>
      <c r="K19" s="6">
        <v>-5.5</v>
      </c>
      <c r="L19" s="26">
        <v>50.45</v>
      </c>
    </row>
    <row r="20" spans="1:12" ht="15" customHeight="1" x14ac:dyDescent="0.25">
      <c r="A20" s="10" t="s">
        <v>398</v>
      </c>
      <c r="B20" s="10" t="s">
        <v>364</v>
      </c>
      <c r="C20" s="10" t="s">
        <v>387</v>
      </c>
      <c r="D20" s="11">
        <v>4</v>
      </c>
      <c r="E20" s="6"/>
      <c r="F20" s="6">
        <v>11.2</v>
      </c>
      <c r="G20" s="6">
        <v>-0.6</v>
      </c>
      <c r="H20" s="6">
        <v>25.9</v>
      </c>
      <c r="I20" s="6">
        <v>-0.5</v>
      </c>
      <c r="J20" s="6">
        <v>45</v>
      </c>
      <c r="K20" s="6">
        <v>6.2</v>
      </c>
      <c r="L20" s="26">
        <v>1.17</v>
      </c>
    </row>
    <row r="21" spans="1:12" ht="15" customHeight="1" x14ac:dyDescent="0.25">
      <c r="A21" s="10" t="s">
        <v>399</v>
      </c>
      <c r="B21" s="10" t="s">
        <v>364</v>
      </c>
      <c r="C21" s="10" t="s">
        <v>387</v>
      </c>
      <c r="D21" s="11">
        <v>22</v>
      </c>
      <c r="E21" s="6">
        <v>2</v>
      </c>
      <c r="F21" s="6">
        <v>10.25</v>
      </c>
      <c r="G21" s="6">
        <v>3.96</v>
      </c>
      <c r="H21" s="6">
        <v>25.04</v>
      </c>
      <c r="I21" s="6">
        <v>-5</v>
      </c>
      <c r="J21" s="6">
        <v>76.900000000000006</v>
      </c>
      <c r="K21" s="6">
        <v>-11.1</v>
      </c>
      <c r="L21" s="26">
        <v>33.24</v>
      </c>
    </row>
    <row r="22" spans="1:12" ht="15" customHeight="1" x14ac:dyDescent="0.25">
      <c r="A22" s="10" t="s">
        <v>400</v>
      </c>
      <c r="B22" s="10" t="s">
        <v>364</v>
      </c>
      <c r="C22" s="10" t="s">
        <v>401</v>
      </c>
      <c r="D22" s="11">
        <v>400</v>
      </c>
      <c r="E22" s="6">
        <v>0.1</v>
      </c>
      <c r="F22" s="6">
        <v>7</v>
      </c>
      <c r="G22" s="6">
        <v>3.5</v>
      </c>
      <c r="H22" s="6">
        <v>33.200000000000003</v>
      </c>
      <c r="I22" s="6">
        <v>-5</v>
      </c>
      <c r="J22" s="6">
        <v>76.900000000000006</v>
      </c>
      <c r="K22" s="6">
        <v>-0.6</v>
      </c>
      <c r="L22" s="26">
        <v>63.02</v>
      </c>
    </row>
    <row r="23" spans="1:12" ht="15" customHeight="1" x14ac:dyDescent="0.25">
      <c r="A23" s="10" t="s">
        <v>402</v>
      </c>
      <c r="B23" s="10" t="s">
        <v>379</v>
      </c>
      <c r="C23" s="10" t="s">
        <v>403</v>
      </c>
      <c r="D23" s="11">
        <v>8</v>
      </c>
      <c r="E23" s="6"/>
      <c r="F23" s="6"/>
      <c r="G23" s="6">
        <v>0.2</v>
      </c>
      <c r="H23" s="6">
        <v>1.6</v>
      </c>
      <c r="I23" s="6"/>
      <c r="J23" s="6"/>
      <c r="K23" s="6"/>
      <c r="L23" s="26">
        <v>0.04</v>
      </c>
    </row>
    <row r="24" spans="1:12" ht="15" customHeight="1" x14ac:dyDescent="0.25">
      <c r="A24" s="10" t="s">
        <v>404</v>
      </c>
      <c r="B24" s="10" t="s">
        <v>364</v>
      </c>
      <c r="C24" s="10" t="s">
        <v>387</v>
      </c>
      <c r="D24" s="11">
        <v>2</v>
      </c>
      <c r="E24" s="6"/>
      <c r="F24" s="6">
        <v>12</v>
      </c>
      <c r="G24" s="6">
        <v>41.6</v>
      </c>
      <c r="H24" s="6">
        <v>0.9</v>
      </c>
      <c r="I24" s="6">
        <v>-5</v>
      </c>
      <c r="J24" s="6">
        <v>13.1</v>
      </c>
      <c r="K24" s="6">
        <v>-8.5</v>
      </c>
      <c r="L24" s="26">
        <v>14.05</v>
      </c>
    </row>
    <row r="25" spans="1:12" ht="15" customHeight="1" x14ac:dyDescent="0.25">
      <c r="A25" s="10" t="s">
        <v>405</v>
      </c>
      <c r="B25" s="10" t="s">
        <v>364</v>
      </c>
      <c r="C25" s="10" t="s">
        <v>387</v>
      </c>
      <c r="D25" s="11">
        <v>14</v>
      </c>
      <c r="E25" s="6">
        <v>-1</v>
      </c>
      <c r="F25" s="6">
        <v>6.75</v>
      </c>
      <c r="G25" s="6">
        <v>7.2</v>
      </c>
      <c r="H25" s="6">
        <v>13.4</v>
      </c>
      <c r="I25" s="6">
        <v>-6.3</v>
      </c>
      <c r="J25" s="6">
        <v>67.2</v>
      </c>
      <c r="K25" s="6">
        <v>-13.5</v>
      </c>
      <c r="L25" s="26">
        <v>13.8</v>
      </c>
    </row>
    <row r="26" spans="1:12" ht="15" customHeight="1" x14ac:dyDescent="0.25">
      <c r="A26" s="10" t="s">
        <v>406</v>
      </c>
      <c r="B26" s="10" t="s">
        <v>379</v>
      </c>
      <c r="C26" s="10" t="s">
        <v>403</v>
      </c>
      <c r="D26" s="11">
        <v>665</v>
      </c>
      <c r="E26" s="6">
        <v>0.2</v>
      </c>
      <c r="F26" s="6">
        <v>2.15</v>
      </c>
      <c r="G26" s="6">
        <v>1.92</v>
      </c>
      <c r="H26" s="6">
        <v>6.5</v>
      </c>
      <c r="I26" s="6">
        <v>-4.5</v>
      </c>
      <c r="J26" s="6">
        <v>104.7</v>
      </c>
      <c r="K26" s="6">
        <v>-0.9</v>
      </c>
      <c r="L26" s="26">
        <v>11.9</v>
      </c>
    </row>
    <row r="27" spans="1:12" ht="15" customHeight="1" x14ac:dyDescent="0.25">
      <c r="A27" s="10" t="s">
        <v>407</v>
      </c>
      <c r="B27" s="10" t="s">
        <v>367</v>
      </c>
      <c r="C27" s="10" t="s">
        <v>377</v>
      </c>
      <c r="D27" s="11">
        <v>53</v>
      </c>
      <c r="E27" s="6"/>
      <c r="F27" s="6">
        <v>6.5</v>
      </c>
      <c r="G27" s="6">
        <v>1.68</v>
      </c>
      <c r="H27" s="6">
        <v>21.3</v>
      </c>
      <c r="I27" s="6">
        <v>-5.3</v>
      </c>
      <c r="J27" s="6">
        <v>90.2</v>
      </c>
      <c r="K27" s="6">
        <v>-5</v>
      </c>
      <c r="L27" s="26">
        <v>11.73</v>
      </c>
    </row>
    <row r="28" spans="1:12" ht="15" customHeight="1" x14ac:dyDescent="0.25">
      <c r="A28" s="10" t="s">
        <v>408</v>
      </c>
      <c r="B28" s="10" t="s">
        <v>364</v>
      </c>
      <c r="C28" s="10" t="s">
        <v>389</v>
      </c>
      <c r="D28" s="11">
        <v>13</v>
      </c>
      <c r="E28" s="6"/>
      <c r="F28" s="6">
        <v>4.5</v>
      </c>
      <c r="G28" s="6">
        <v>4</v>
      </c>
      <c r="H28" s="6">
        <v>7.8</v>
      </c>
      <c r="I28" s="6">
        <v>-1.2</v>
      </c>
      <c r="J28" s="6">
        <v>36.200000000000003</v>
      </c>
      <c r="K28" s="6">
        <v>-2.4</v>
      </c>
      <c r="L28" s="26">
        <v>1.89</v>
      </c>
    </row>
    <row r="29" spans="1:12" ht="15" customHeight="1" x14ac:dyDescent="0.25">
      <c r="A29" s="10" t="s">
        <v>409</v>
      </c>
      <c r="B29" s="10" t="s">
        <v>379</v>
      </c>
      <c r="C29" s="10" t="s">
        <v>392</v>
      </c>
      <c r="D29" s="11">
        <v>1723</v>
      </c>
      <c r="E29" s="6">
        <v>0.7</v>
      </c>
      <c r="F29" s="6">
        <v>2.15</v>
      </c>
      <c r="G29" s="6">
        <v>2.7</v>
      </c>
      <c r="H29" s="6">
        <v>10.29</v>
      </c>
      <c r="I29" s="6">
        <v>-3.2</v>
      </c>
      <c r="J29" s="6">
        <v>101.8</v>
      </c>
      <c r="K29" s="6">
        <v>3.1</v>
      </c>
      <c r="L29" s="26">
        <v>49.08</v>
      </c>
    </row>
    <row r="30" spans="1:12" ht="15" customHeight="1" x14ac:dyDescent="0.25">
      <c r="A30" s="10" t="s">
        <v>410</v>
      </c>
      <c r="B30" s="10" t="s">
        <v>367</v>
      </c>
      <c r="C30" s="10" t="s">
        <v>411</v>
      </c>
      <c r="D30" s="11">
        <v>17</v>
      </c>
      <c r="E30" s="6"/>
      <c r="F30" s="6">
        <v>9.25</v>
      </c>
      <c r="G30" s="6">
        <v>8.8000000000000007</v>
      </c>
      <c r="H30" s="6">
        <v>1.6</v>
      </c>
      <c r="I30" s="6">
        <v>2.4</v>
      </c>
      <c r="J30" s="6">
        <v>25.9</v>
      </c>
      <c r="K30" s="6">
        <v>-25.2</v>
      </c>
      <c r="L30" s="26">
        <v>7.3</v>
      </c>
    </row>
    <row r="31" spans="1:12" ht="15" customHeight="1" x14ac:dyDescent="0.25">
      <c r="A31" s="10" t="s">
        <v>412</v>
      </c>
      <c r="B31" s="10" t="s">
        <v>364</v>
      </c>
      <c r="C31" s="10" t="s">
        <v>413</v>
      </c>
      <c r="D31" s="11">
        <v>11</v>
      </c>
      <c r="E31" s="6"/>
      <c r="F31" s="6">
        <v>6.75</v>
      </c>
      <c r="G31" s="6">
        <v>1.3</v>
      </c>
      <c r="H31" s="6">
        <v>10.37</v>
      </c>
      <c r="I31" s="6">
        <v>-1.1000000000000001</v>
      </c>
      <c r="J31" s="6">
        <v>40.299999999999997</v>
      </c>
      <c r="K31" s="6">
        <v>-9</v>
      </c>
      <c r="L31" s="26">
        <v>5.17</v>
      </c>
    </row>
    <row r="32" spans="1:12" ht="15" customHeight="1" x14ac:dyDescent="0.25">
      <c r="A32" s="10" t="s">
        <v>414</v>
      </c>
      <c r="B32" s="10" t="s">
        <v>364</v>
      </c>
      <c r="C32" s="10" t="s">
        <v>387</v>
      </c>
      <c r="D32" s="11">
        <v>11</v>
      </c>
      <c r="E32" s="6"/>
      <c r="F32" s="6">
        <v>26</v>
      </c>
      <c r="G32" s="6">
        <v>27.3</v>
      </c>
      <c r="H32" s="6">
        <v>5</v>
      </c>
      <c r="I32" s="6">
        <v>-8.1999999999999993</v>
      </c>
      <c r="J32" s="6">
        <v>87.7</v>
      </c>
      <c r="K32" s="6">
        <v>-19.5</v>
      </c>
      <c r="L32" s="26">
        <v>20.3</v>
      </c>
    </row>
    <row r="33" spans="1:12" ht="15" customHeight="1" x14ac:dyDescent="0.25">
      <c r="A33" s="10" t="s">
        <v>415</v>
      </c>
      <c r="B33" s="10" t="s">
        <v>370</v>
      </c>
      <c r="C33" s="10" t="s">
        <v>416</v>
      </c>
      <c r="D33" s="11">
        <v>86</v>
      </c>
      <c r="E33" s="6"/>
      <c r="F33" s="6">
        <v>2.14</v>
      </c>
      <c r="G33" s="6">
        <v>-0.36</v>
      </c>
      <c r="H33" s="6">
        <v>9.5</v>
      </c>
      <c r="I33" s="6">
        <v>-7.35</v>
      </c>
      <c r="J33" s="6">
        <v>56.6</v>
      </c>
      <c r="K33" s="6">
        <v>-0.4</v>
      </c>
      <c r="L33" s="26">
        <v>4.5199999999999996</v>
      </c>
    </row>
    <row r="34" spans="1:12" ht="15" customHeight="1" x14ac:dyDescent="0.25">
      <c r="A34" s="10" t="s">
        <v>417</v>
      </c>
      <c r="B34" s="10" t="s">
        <v>367</v>
      </c>
      <c r="C34" s="10" t="s">
        <v>368</v>
      </c>
      <c r="D34" s="11">
        <v>526</v>
      </c>
      <c r="E34" s="6">
        <v>0.6</v>
      </c>
      <c r="F34" s="6">
        <v>1.5</v>
      </c>
      <c r="G34" s="6">
        <v>-0.7</v>
      </c>
      <c r="H34" s="6">
        <v>0.91</v>
      </c>
      <c r="I34" s="6">
        <v>-2.2000000000000002</v>
      </c>
      <c r="J34" s="6">
        <v>63.7</v>
      </c>
      <c r="K34" s="6">
        <v>1.4</v>
      </c>
      <c r="L34" s="26">
        <v>66.05</v>
      </c>
    </row>
    <row r="35" spans="1:12" ht="15" customHeight="1" x14ac:dyDescent="0.25">
      <c r="A35" s="10" t="s">
        <v>418</v>
      </c>
      <c r="B35" s="10" t="s">
        <v>367</v>
      </c>
      <c r="C35" s="10" t="s">
        <v>377</v>
      </c>
      <c r="D35" s="11">
        <v>1323</v>
      </c>
      <c r="E35" s="6">
        <v>1</v>
      </c>
      <c r="F35" s="6">
        <v>43</v>
      </c>
      <c r="G35" s="6">
        <v>33.520000000000003</v>
      </c>
      <c r="H35" s="6">
        <v>8.6</v>
      </c>
      <c r="I35" s="6">
        <v>-4.9000000000000004</v>
      </c>
      <c r="J35" s="6">
        <v>24.7</v>
      </c>
      <c r="K35" s="6">
        <v>-0.8</v>
      </c>
      <c r="L35" s="26">
        <v>85.67</v>
      </c>
    </row>
    <row r="36" spans="1:12" ht="15" customHeight="1" x14ac:dyDescent="0.25">
      <c r="A36" s="10" t="s">
        <v>419</v>
      </c>
      <c r="B36" s="10" t="s">
        <v>367</v>
      </c>
      <c r="C36" s="10" t="s">
        <v>368</v>
      </c>
      <c r="D36" s="11">
        <v>462</v>
      </c>
      <c r="E36" s="6">
        <v>1.5</v>
      </c>
      <c r="F36" s="6">
        <v>5.25</v>
      </c>
      <c r="G36" s="6">
        <v>0.9</v>
      </c>
      <c r="H36" s="6">
        <v>3.7</v>
      </c>
      <c r="I36" s="6">
        <v>-5.7</v>
      </c>
      <c r="J36" s="6">
        <v>60.7</v>
      </c>
      <c r="K36" s="6">
        <v>-3.8</v>
      </c>
      <c r="L36" s="26">
        <v>112.9</v>
      </c>
    </row>
    <row r="37" spans="1:12" ht="15" customHeight="1" x14ac:dyDescent="0.25">
      <c r="A37" s="10" t="s">
        <v>420</v>
      </c>
      <c r="B37" s="10" t="s">
        <v>379</v>
      </c>
      <c r="C37" s="10" t="s">
        <v>383</v>
      </c>
      <c r="D37" s="11">
        <v>72</v>
      </c>
      <c r="E37" s="6">
        <v>0.7</v>
      </c>
      <c r="F37" s="6">
        <v>2.15</v>
      </c>
      <c r="G37" s="6">
        <v>2.8</v>
      </c>
      <c r="H37" s="6">
        <v>4.3</v>
      </c>
      <c r="I37" s="6">
        <v>-0.9</v>
      </c>
      <c r="J37" s="6">
        <v>67</v>
      </c>
      <c r="K37" s="6">
        <v>4.4000000000000004</v>
      </c>
      <c r="L37" s="26">
        <v>2.12</v>
      </c>
    </row>
    <row r="38" spans="1:12" ht="15" customHeight="1" x14ac:dyDescent="0.25">
      <c r="A38" s="10" t="s">
        <v>421</v>
      </c>
      <c r="B38" s="10" t="s">
        <v>367</v>
      </c>
      <c r="C38" s="10" t="s">
        <v>377</v>
      </c>
      <c r="D38" s="11">
        <v>537</v>
      </c>
      <c r="E38" s="6">
        <v>2</v>
      </c>
      <c r="F38" s="6">
        <v>4.4000000000000004</v>
      </c>
      <c r="G38" s="6">
        <v>2.88</v>
      </c>
      <c r="H38" s="6">
        <v>2.13</v>
      </c>
      <c r="I38" s="6">
        <v>4.5</v>
      </c>
      <c r="J38" s="6">
        <v>32.1</v>
      </c>
      <c r="K38" s="6">
        <v>9.3000000000000007</v>
      </c>
      <c r="L38" s="26">
        <v>10.88</v>
      </c>
    </row>
    <row r="39" spans="1:12" ht="15" customHeight="1" x14ac:dyDescent="0.25">
      <c r="A39" s="10" t="s">
        <v>422</v>
      </c>
      <c r="B39" s="10" t="s">
        <v>367</v>
      </c>
      <c r="C39" s="10" t="s">
        <v>377</v>
      </c>
      <c r="D39" s="11">
        <v>34</v>
      </c>
      <c r="E39" s="6"/>
      <c r="F39" s="6">
        <v>8</v>
      </c>
      <c r="G39" s="6">
        <v>4.3</v>
      </c>
      <c r="H39" s="6">
        <v>14.3</v>
      </c>
      <c r="I39" s="6">
        <v>-2.1</v>
      </c>
      <c r="J39" s="6">
        <v>36.1</v>
      </c>
      <c r="K39" s="6">
        <v>-4.4000000000000004</v>
      </c>
      <c r="L39" s="26">
        <v>3.71</v>
      </c>
    </row>
    <row r="40" spans="1:12" ht="15" customHeight="1" x14ac:dyDescent="0.25">
      <c r="A40" s="10" t="s">
        <v>423</v>
      </c>
      <c r="B40" s="10" t="s">
        <v>379</v>
      </c>
      <c r="C40" s="10" t="s">
        <v>392</v>
      </c>
      <c r="D40" s="11">
        <v>257</v>
      </c>
      <c r="E40" s="6">
        <v>0</v>
      </c>
      <c r="F40" s="6">
        <v>2.15</v>
      </c>
      <c r="G40" s="6">
        <v>3.1</v>
      </c>
      <c r="H40" s="6">
        <v>7.9</v>
      </c>
      <c r="I40" s="6">
        <v>1.3</v>
      </c>
      <c r="J40" s="6">
        <v>153.6</v>
      </c>
      <c r="K40" s="6">
        <v>-6.4</v>
      </c>
      <c r="L40" s="26">
        <v>10.41</v>
      </c>
    </row>
    <row r="41" spans="1:12" ht="15" customHeight="1" x14ac:dyDescent="0.25">
      <c r="A41" s="10" t="s">
        <v>424</v>
      </c>
      <c r="B41" s="10" t="s">
        <v>367</v>
      </c>
      <c r="C41" s="10" t="s">
        <v>377</v>
      </c>
      <c r="D41" s="11">
        <v>26</v>
      </c>
      <c r="E41" s="6"/>
      <c r="F41" s="6">
        <v>6.75</v>
      </c>
      <c r="G41" s="6">
        <v>3.4</v>
      </c>
      <c r="H41" s="6">
        <v>13.9</v>
      </c>
      <c r="I41" s="6">
        <v>-3.15</v>
      </c>
      <c r="J41" s="6">
        <v>50.3</v>
      </c>
      <c r="K41" s="6">
        <v>2.8</v>
      </c>
      <c r="L41" s="26">
        <v>2.99</v>
      </c>
    </row>
    <row r="42" spans="1:12" ht="15" customHeight="1" x14ac:dyDescent="0.25">
      <c r="A42" s="10" t="s">
        <v>425</v>
      </c>
      <c r="B42" s="10" t="s">
        <v>370</v>
      </c>
      <c r="C42" s="10" t="s">
        <v>416</v>
      </c>
      <c r="D42" s="11">
        <v>95</v>
      </c>
      <c r="E42" s="6">
        <v>0.2</v>
      </c>
      <c r="F42" s="6">
        <v>3.75</v>
      </c>
      <c r="G42" s="6">
        <v>-0.61</v>
      </c>
      <c r="H42" s="6">
        <v>7.5</v>
      </c>
      <c r="I42" s="6">
        <v>-1.9</v>
      </c>
      <c r="J42" s="6">
        <v>74.180000000000007</v>
      </c>
      <c r="K42" s="6">
        <v>-1.4</v>
      </c>
      <c r="L42" s="26">
        <v>5.16</v>
      </c>
    </row>
    <row r="43" spans="1:12" ht="15" customHeight="1" x14ac:dyDescent="0.25">
      <c r="A43" s="10" t="s">
        <v>426</v>
      </c>
      <c r="B43" s="10" t="s">
        <v>364</v>
      </c>
      <c r="C43" s="10" t="s">
        <v>387</v>
      </c>
      <c r="D43" s="11">
        <v>79</v>
      </c>
      <c r="E43" s="6">
        <v>1.5</v>
      </c>
      <c r="F43" s="6">
        <v>5.75</v>
      </c>
      <c r="G43" s="6">
        <v>3.3</v>
      </c>
      <c r="H43" s="6">
        <v>8.9</v>
      </c>
      <c r="I43" s="6">
        <v>-3.4</v>
      </c>
      <c r="J43" s="6">
        <v>48.2</v>
      </c>
      <c r="K43" s="6">
        <v>-2.5</v>
      </c>
      <c r="L43" s="26">
        <v>66.28</v>
      </c>
    </row>
    <row r="44" spans="1:12" ht="15" customHeight="1" x14ac:dyDescent="0.25">
      <c r="A44" s="10" t="s">
        <v>427</v>
      </c>
      <c r="B44" s="10" t="s">
        <v>364</v>
      </c>
      <c r="C44" s="10" t="s">
        <v>389</v>
      </c>
      <c r="D44" s="11">
        <v>12</v>
      </c>
      <c r="E44" s="6"/>
      <c r="F44" s="6">
        <v>12</v>
      </c>
      <c r="G44" s="6">
        <v>112.6</v>
      </c>
      <c r="H44" s="6">
        <v>12.5</v>
      </c>
      <c r="I44" s="6"/>
      <c r="J44" s="6"/>
      <c r="K44" s="6"/>
      <c r="L44" s="26">
        <v>11.94</v>
      </c>
    </row>
    <row r="45" spans="1:12" ht="15" customHeight="1" x14ac:dyDescent="0.25">
      <c r="A45" s="10" t="s">
        <v>428</v>
      </c>
      <c r="B45" s="10" t="s">
        <v>367</v>
      </c>
      <c r="C45" s="10" t="s">
        <v>385</v>
      </c>
      <c r="D45" s="11">
        <v>437</v>
      </c>
      <c r="E45" s="6"/>
      <c r="F45" s="6">
        <v>23</v>
      </c>
      <c r="G45" s="6">
        <v>38.700000000000003</v>
      </c>
      <c r="H45" s="6">
        <v>7.2</v>
      </c>
      <c r="I45" s="6">
        <v>-5.5</v>
      </c>
      <c r="J45" s="6">
        <v>36.799999999999997</v>
      </c>
      <c r="K45" s="6">
        <v>2.9</v>
      </c>
      <c r="L45" s="26">
        <v>86</v>
      </c>
    </row>
    <row r="46" spans="1:12" ht="15" customHeight="1" x14ac:dyDescent="0.25">
      <c r="A46" s="10" t="s">
        <v>429</v>
      </c>
      <c r="B46" s="10" t="s">
        <v>367</v>
      </c>
      <c r="C46" s="10" t="s">
        <v>430</v>
      </c>
      <c r="D46" s="11">
        <v>24</v>
      </c>
      <c r="E46" s="6">
        <v>6.1</v>
      </c>
      <c r="F46" s="6">
        <v>12</v>
      </c>
      <c r="G46" s="6">
        <v>8.1</v>
      </c>
      <c r="H46" s="6">
        <v>4.5</v>
      </c>
      <c r="I46" s="6">
        <v>0.2</v>
      </c>
      <c r="J46" s="6">
        <v>33</v>
      </c>
      <c r="K46" s="6">
        <v>-6.9</v>
      </c>
      <c r="L46" s="26">
        <v>3.54</v>
      </c>
    </row>
    <row r="47" spans="1:12" ht="15" customHeight="1" x14ac:dyDescent="0.25">
      <c r="A47" s="10" t="s">
        <v>431</v>
      </c>
      <c r="B47" s="10" t="s">
        <v>379</v>
      </c>
      <c r="C47" s="10" t="s">
        <v>394</v>
      </c>
      <c r="D47" s="11">
        <v>18</v>
      </c>
      <c r="E47" s="6">
        <v>1.1000000000000001</v>
      </c>
      <c r="F47" s="6">
        <v>6.25</v>
      </c>
      <c r="G47" s="6">
        <v>7.9</v>
      </c>
      <c r="H47" s="6">
        <v>4.4000000000000004</v>
      </c>
      <c r="I47" s="6">
        <v>3.9</v>
      </c>
      <c r="J47" s="6">
        <v>34.6</v>
      </c>
      <c r="K47" s="6">
        <v>-11.9</v>
      </c>
      <c r="L47" s="26">
        <v>2.42</v>
      </c>
    </row>
    <row r="48" spans="1:12" ht="15" customHeight="1" x14ac:dyDescent="0.25">
      <c r="A48" s="10" t="s">
        <v>432</v>
      </c>
      <c r="B48" s="10" t="s">
        <v>433</v>
      </c>
      <c r="C48" s="10" t="s">
        <v>434</v>
      </c>
      <c r="D48" s="11">
        <v>260</v>
      </c>
      <c r="E48" s="6">
        <v>0.8</v>
      </c>
      <c r="F48" s="6">
        <v>3</v>
      </c>
      <c r="G48" s="6">
        <v>2.7</v>
      </c>
      <c r="H48" s="6">
        <v>5.2</v>
      </c>
      <c r="I48" s="6">
        <v>-3.1</v>
      </c>
      <c r="J48" s="6">
        <v>45.2</v>
      </c>
      <c r="K48" s="6">
        <v>-5.7</v>
      </c>
      <c r="L48" s="26">
        <v>5.36</v>
      </c>
    </row>
    <row r="49" spans="1:12" ht="15" customHeight="1" x14ac:dyDescent="0.25">
      <c r="A49" s="10" t="s">
        <v>435</v>
      </c>
      <c r="B49" s="10" t="s">
        <v>364</v>
      </c>
      <c r="C49" s="10" t="s">
        <v>387</v>
      </c>
      <c r="D49" s="11">
        <v>12</v>
      </c>
      <c r="E49" s="6"/>
      <c r="F49" s="6"/>
      <c r="G49" s="6">
        <v>4.4000000000000004</v>
      </c>
      <c r="H49" s="6"/>
      <c r="I49" s="6"/>
      <c r="J49" s="6"/>
      <c r="K49" s="6"/>
      <c r="L49" s="26">
        <v>19.010000000000002</v>
      </c>
    </row>
    <row r="50" spans="1:12" ht="15" customHeight="1" x14ac:dyDescent="0.25">
      <c r="A50" s="10" t="s">
        <v>436</v>
      </c>
      <c r="B50" s="10" t="s">
        <v>370</v>
      </c>
      <c r="C50" s="10" t="s">
        <v>371</v>
      </c>
      <c r="D50" s="11">
        <v>25</v>
      </c>
      <c r="E50" s="6"/>
      <c r="F50" s="6">
        <v>5</v>
      </c>
      <c r="G50" s="6">
        <v>4.2</v>
      </c>
      <c r="H50" s="6">
        <v>10.199999999999999</v>
      </c>
      <c r="I50" s="6">
        <v>-7.4</v>
      </c>
      <c r="J50" s="6">
        <v>24.3</v>
      </c>
      <c r="K50" s="6">
        <v>24.6</v>
      </c>
      <c r="L50" s="26">
        <v>0.78</v>
      </c>
    </row>
    <row r="51" spans="1:12" ht="15" customHeight="1" x14ac:dyDescent="0.25">
      <c r="A51" s="10" t="s">
        <v>437</v>
      </c>
      <c r="B51" s="10" t="s">
        <v>367</v>
      </c>
      <c r="C51" s="10" t="s">
        <v>385</v>
      </c>
      <c r="D51" s="11">
        <v>3913</v>
      </c>
      <c r="E51" s="6">
        <v>2</v>
      </c>
      <c r="F51" s="6">
        <v>5.5</v>
      </c>
      <c r="G51" s="6">
        <v>1.55</v>
      </c>
      <c r="H51" s="6">
        <v>5.2</v>
      </c>
      <c r="I51" s="6">
        <v>-4.8</v>
      </c>
      <c r="J51" s="6">
        <v>81.59</v>
      </c>
      <c r="K51" s="6">
        <v>-0.6</v>
      </c>
      <c r="L51" s="26">
        <v>1398.6</v>
      </c>
    </row>
    <row r="52" spans="1:12" ht="15" customHeight="1" x14ac:dyDescent="0.25">
      <c r="A52" s="10" t="s">
        <v>438</v>
      </c>
      <c r="B52" s="10" t="s">
        <v>364</v>
      </c>
      <c r="C52" s="10" t="s">
        <v>413</v>
      </c>
      <c r="D52" s="11">
        <v>20</v>
      </c>
      <c r="E52" s="6"/>
      <c r="F52" s="6">
        <v>5.25</v>
      </c>
      <c r="G52" s="6">
        <v>-9.1</v>
      </c>
      <c r="H52" s="6">
        <v>0.4</v>
      </c>
      <c r="I52" s="6">
        <v>-4.3</v>
      </c>
      <c r="J52" s="6">
        <v>47</v>
      </c>
      <c r="K52" s="6">
        <v>-6.86</v>
      </c>
      <c r="L52" s="26">
        <v>27.03</v>
      </c>
    </row>
    <row r="53" spans="1:12" ht="15" customHeight="1" x14ac:dyDescent="0.25">
      <c r="A53" s="10" t="s">
        <v>439</v>
      </c>
      <c r="B53" s="10" t="s">
        <v>364</v>
      </c>
      <c r="C53" s="10" t="s">
        <v>389</v>
      </c>
      <c r="D53" s="11">
        <v>16</v>
      </c>
      <c r="E53" s="6"/>
      <c r="F53" s="6">
        <v>4.5</v>
      </c>
      <c r="G53" s="6">
        <v>5</v>
      </c>
      <c r="H53" s="6">
        <v>19.8</v>
      </c>
      <c r="I53" s="6">
        <v>2.7</v>
      </c>
      <c r="J53" s="6">
        <v>95.4</v>
      </c>
      <c r="K53" s="6">
        <v>2.4</v>
      </c>
      <c r="L53" s="26">
        <v>6.33</v>
      </c>
    </row>
    <row r="54" spans="1:12" ht="15" customHeight="1" x14ac:dyDescent="0.25">
      <c r="A54" s="10" t="s">
        <v>440</v>
      </c>
      <c r="B54" s="10" t="s">
        <v>367</v>
      </c>
      <c r="C54" s="10" t="s">
        <v>430</v>
      </c>
      <c r="D54" s="11">
        <v>1713</v>
      </c>
      <c r="E54" s="6">
        <v>0.6</v>
      </c>
      <c r="F54" s="6">
        <v>2.5</v>
      </c>
      <c r="G54" s="6">
        <v>2.1</v>
      </c>
      <c r="H54" s="6">
        <v>2.5</v>
      </c>
      <c r="I54" s="6">
        <v>-3.9</v>
      </c>
      <c r="J54" s="6">
        <v>46.8</v>
      </c>
      <c r="K54" s="6">
        <v>5.3</v>
      </c>
      <c r="L54" s="26">
        <v>51.75</v>
      </c>
    </row>
    <row r="55" spans="1:12" ht="15" customHeight="1" x14ac:dyDescent="0.25">
      <c r="A55" s="10" t="s">
        <v>441</v>
      </c>
      <c r="B55" s="10" t="s">
        <v>364</v>
      </c>
      <c r="C55" s="10" t="s">
        <v>413</v>
      </c>
      <c r="D55" s="11">
        <v>87</v>
      </c>
      <c r="E55" s="6"/>
      <c r="F55" s="6">
        <v>5.25</v>
      </c>
      <c r="G55" s="6">
        <v>-0.8</v>
      </c>
      <c r="H55" s="6">
        <v>2.2999999999999998</v>
      </c>
      <c r="I55" s="6">
        <v>-4</v>
      </c>
      <c r="J55" s="6">
        <v>35.9</v>
      </c>
      <c r="K55" s="6">
        <v>-4.8</v>
      </c>
      <c r="L55" s="26">
        <v>31.93</v>
      </c>
    </row>
    <row r="56" spans="1:12" ht="15" customHeight="1" x14ac:dyDescent="0.25">
      <c r="A56" s="10" t="s">
        <v>442</v>
      </c>
      <c r="B56" s="10" t="s">
        <v>367</v>
      </c>
      <c r="C56" s="10" t="s">
        <v>385</v>
      </c>
      <c r="D56" s="11">
        <v>7</v>
      </c>
      <c r="E56" s="6"/>
      <c r="F56" s="6">
        <v>7</v>
      </c>
      <c r="G56" s="6">
        <v>3.8</v>
      </c>
      <c r="H56" s="6">
        <v>4.5999999999999996</v>
      </c>
      <c r="I56" s="6">
        <v>-12.5</v>
      </c>
      <c r="J56" s="6">
        <v>62.4</v>
      </c>
      <c r="K56" s="6">
        <v>-20.399999999999999</v>
      </c>
      <c r="L56" s="26">
        <v>0.53</v>
      </c>
    </row>
    <row r="57" spans="1:12" ht="15" customHeight="1" x14ac:dyDescent="0.25">
      <c r="A57" s="10" t="s">
        <v>443</v>
      </c>
      <c r="B57" s="10" t="s">
        <v>379</v>
      </c>
      <c r="C57" s="10" t="s">
        <v>444</v>
      </c>
      <c r="D57" s="11">
        <v>89</v>
      </c>
      <c r="E57" s="6">
        <v>-0.6</v>
      </c>
      <c r="F57" s="6">
        <v>5.75</v>
      </c>
      <c r="G57" s="6">
        <v>4.9000000000000004</v>
      </c>
      <c r="H57" s="6">
        <v>9.1</v>
      </c>
      <c r="I57" s="6">
        <v>-2.2000000000000002</v>
      </c>
      <c r="J57" s="6">
        <v>47.2</v>
      </c>
      <c r="K57" s="6">
        <v>-6.3</v>
      </c>
      <c r="L57" s="26">
        <v>6.57</v>
      </c>
    </row>
    <row r="58" spans="1:12" ht="15" customHeight="1" x14ac:dyDescent="0.25">
      <c r="A58" s="10" t="s">
        <v>445</v>
      </c>
      <c r="B58" s="10" t="s">
        <v>364</v>
      </c>
      <c r="C58" s="10" t="s">
        <v>413</v>
      </c>
      <c r="D58" s="11">
        <v>27</v>
      </c>
      <c r="E58" s="6"/>
      <c r="F58" s="6">
        <v>5.25</v>
      </c>
      <c r="G58" s="6">
        <v>5.3</v>
      </c>
      <c r="H58" s="6">
        <v>3.1</v>
      </c>
      <c r="I58" s="6">
        <v>-2.8</v>
      </c>
      <c r="J58" s="6"/>
      <c r="K58" s="6">
        <v>-7.44</v>
      </c>
      <c r="L58" s="26">
        <v>24.48</v>
      </c>
    </row>
    <row r="59" spans="1:12" ht="15" customHeight="1" x14ac:dyDescent="0.25">
      <c r="A59" s="10" t="s">
        <v>446</v>
      </c>
      <c r="B59" s="10" t="s">
        <v>364</v>
      </c>
      <c r="C59" s="10" t="s">
        <v>365</v>
      </c>
      <c r="D59" s="11">
        <v>264</v>
      </c>
      <c r="E59" s="6">
        <v>18.600000000000001</v>
      </c>
      <c r="F59" s="6">
        <v>3</v>
      </c>
      <c r="G59" s="6">
        <v>-0.22</v>
      </c>
      <c r="H59" s="6">
        <v>11.43</v>
      </c>
      <c r="I59" s="6">
        <v>-9.3000000000000007</v>
      </c>
      <c r="J59" s="6">
        <v>46.2</v>
      </c>
      <c r="K59" s="6">
        <v>1.3</v>
      </c>
      <c r="L59" s="26">
        <v>46.81</v>
      </c>
    </row>
    <row r="60" spans="1:12" ht="15" customHeight="1" x14ac:dyDescent="0.25">
      <c r="A60" s="10" t="s">
        <v>447</v>
      </c>
      <c r="B60" s="10" t="s">
        <v>367</v>
      </c>
      <c r="C60" s="10" t="s">
        <v>368</v>
      </c>
      <c r="D60" s="11">
        <v>17</v>
      </c>
      <c r="E60" s="6"/>
      <c r="F60" s="6">
        <v>9.5</v>
      </c>
      <c r="G60" s="6">
        <v>5.3</v>
      </c>
      <c r="H60" s="6">
        <v>1.2</v>
      </c>
      <c r="I60" s="6">
        <v>-2.2999999999999998</v>
      </c>
      <c r="J60" s="6">
        <v>68.709999999999994</v>
      </c>
      <c r="K60" s="6">
        <v>3.22</v>
      </c>
      <c r="L60" s="26">
        <v>7.65</v>
      </c>
    </row>
    <row r="61" spans="1:12" ht="15" customHeight="1" x14ac:dyDescent="0.25">
      <c r="A61" s="10" t="s">
        <v>448</v>
      </c>
      <c r="B61" s="10" t="s">
        <v>364</v>
      </c>
      <c r="C61" s="10" t="s">
        <v>389</v>
      </c>
      <c r="D61" s="11">
        <v>51</v>
      </c>
      <c r="E61" s="6">
        <v>2.7</v>
      </c>
      <c r="F61" s="6">
        <v>4.5</v>
      </c>
      <c r="G61" s="6">
        <v>3.3</v>
      </c>
      <c r="H61" s="6">
        <v>3.5</v>
      </c>
      <c r="I61" s="6">
        <v>-0.7</v>
      </c>
      <c r="J61" s="6">
        <v>42.7</v>
      </c>
      <c r="K61" s="6">
        <v>-3.2</v>
      </c>
      <c r="L61" s="26">
        <v>29.1</v>
      </c>
    </row>
    <row r="62" spans="1:12" ht="15" customHeight="1" x14ac:dyDescent="0.25">
      <c r="A62" s="10" t="s">
        <v>449</v>
      </c>
      <c r="B62" s="10" t="s">
        <v>379</v>
      </c>
      <c r="C62" s="10" t="s">
        <v>380</v>
      </c>
      <c r="D62" s="11">
        <v>300</v>
      </c>
      <c r="E62" s="6">
        <v>0</v>
      </c>
      <c r="F62" s="6">
        <v>2.15</v>
      </c>
      <c r="G62" s="6">
        <v>0.2</v>
      </c>
      <c r="H62" s="6">
        <v>9.9</v>
      </c>
      <c r="I62" s="6">
        <v>-4.4000000000000004</v>
      </c>
      <c r="J62" s="6">
        <v>82.1</v>
      </c>
      <c r="K62" s="6">
        <v>0</v>
      </c>
      <c r="L62" s="26">
        <v>5.6</v>
      </c>
    </row>
    <row r="63" spans="1:12" ht="15" customHeight="1" x14ac:dyDescent="0.25">
      <c r="A63" s="10" t="s">
        <v>450</v>
      </c>
      <c r="B63" s="10" t="s">
        <v>364</v>
      </c>
      <c r="C63" s="10" t="s">
        <v>401</v>
      </c>
      <c r="D63" s="11">
        <v>44</v>
      </c>
      <c r="E63" s="6"/>
      <c r="F63" s="6">
        <v>35</v>
      </c>
      <c r="G63" s="6">
        <v>95.8</v>
      </c>
      <c r="H63" s="6">
        <v>8.6</v>
      </c>
      <c r="I63" s="6">
        <v>-1.2</v>
      </c>
      <c r="J63" s="6">
        <v>87</v>
      </c>
      <c r="K63" s="6">
        <v>1.3</v>
      </c>
      <c r="L63" s="26">
        <v>15.18</v>
      </c>
    </row>
    <row r="64" spans="1:12" ht="15" customHeight="1" x14ac:dyDescent="0.25">
      <c r="A64" s="10" t="s">
        <v>451</v>
      </c>
      <c r="B64" s="10" t="s">
        <v>370</v>
      </c>
      <c r="C64" s="10" t="s">
        <v>371</v>
      </c>
      <c r="D64" s="11">
        <v>50</v>
      </c>
      <c r="E64" s="6">
        <v>7.89</v>
      </c>
      <c r="F64" s="6">
        <v>4.05</v>
      </c>
      <c r="G64" s="6">
        <v>24.86</v>
      </c>
      <c r="H64" s="6">
        <v>2.4</v>
      </c>
      <c r="I64" s="6">
        <v>-7.8</v>
      </c>
      <c r="J64" s="6">
        <v>95</v>
      </c>
      <c r="K64" s="6">
        <v>-2.7</v>
      </c>
      <c r="L64" s="26">
        <v>12.41</v>
      </c>
    </row>
    <row r="65" spans="1:12" ht="15" customHeight="1" x14ac:dyDescent="0.25">
      <c r="A65" s="10" t="s">
        <v>452</v>
      </c>
      <c r="B65" s="10" t="s">
        <v>364</v>
      </c>
      <c r="C65" s="10" t="s">
        <v>401</v>
      </c>
      <c r="D65" s="11">
        <v>2</v>
      </c>
      <c r="E65" s="6">
        <v>-0.47</v>
      </c>
      <c r="F65" s="6">
        <v>7</v>
      </c>
      <c r="G65" s="6">
        <v>4.3</v>
      </c>
      <c r="H65" s="6">
        <v>16.100000000000001</v>
      </c>
      <c r="I65" s="6">
        <v>8.4</v>
      </c>
      <c r="J65" s="6">
        <v>60</v>
      </c>
      <c r="K65" s="6">
        <v>-0.4</v>
      </c>
      <c r="L65" s="26">
        <v>2.34</v>
      </c>
    </row>
    <row r="66" spans="1:12" ht="15" customHeight="1" x14ac:dyDescent="0.25">
      <c r="A66" s="10" t="s">
        <v>453</v>
      </c>
      <c r="B66" s="10" t="s">
        <v>379</v>
      </c>
      <c r="C66" s="10" t="s">
        <v>383</v>
      </c>
      <c r="D66" s="11">
        <v>223</v>
      </c>
      <c r="E66" s="6">
        <v>0.4</v>
      </c>
      <c r="F66" s="6">
        <v>6.5</v>
      </c>
      <c r="G66" s="6">
        <v>4.3</v>
      </c>
      <c r="H66" s="6">
        <v>4.5</v>
      </c>
      <c r="I66" s="6">
        <v>-4.9000000000000004</v>
      </c>
      <c r="J66" s="6">
        <v>73.5</v>
      </c>
      <c r="K66" s="6">
        <v>2.2000000000000002</v>
      </c>
      <c r="L66" s="26">
        <v>9.58</v>
      </c>
    </row>
    <row r="67" spans="1:12" ht="15" customHeight="1" x14ac:dyDescent="0.25">
      <c r="A67" s="10" t="s">
        <v>454</v>
      </c>
      <c r="B67" s="10" t="s">
        <v>367</v>
      </c>
      <c r="C67" s="10" t="s">
        <v>411</v>
      </c>
      <c r="D67" s="11">
        <v>64</v>
      </c>
      <c r="E67" s="6"/>
      <c r="F67" s="6"/>
      <c r="G67" s="6">
        <v>5.5</v>
      </c>
      <c r="H67" s="6">
        <v>4.1900000000000004</v>
      </c>
      <c r="I67" s="6">
        <v>0.8</v>
      </c>
      <c r="J67" s="6">
        <v>4.5999999999999996</v>
      </c>
      <c r="K67" s="6">
        <v>5.9</v>
      </c>
      <c r="L67" s="26">
        <v>7.49</v>
      </c>
    </row>
    <row r="68" spans="1:12" ht="15" customHeight="1" x14ac:dyDescent="0.25">
      <c r="A68" s="10" t="s">
        <v>455</v>
      </c>
      <c r="B68" s="10" t="s">
        <v>379</v>
      </c>
      <c r="C68" s="10" t="s">
        <v>380</v>
      </c>
      <c r="D68" s="11">
        <v>484</v>
      </c>
      <c r="E68" s="6">
        <v>0.8</v>
      </c>
      <c r="F68" s="6">
        <v>4.25</v>
      </c>
      <c r="G68" s="6">
        <v>3.3</v>
      </c>
      <c r="H68" s="6">
        <v>5.4</v>
      </c>
      <c r="I68" s="6">
        <v>13.2</v>
      </c>
      <c r="J68" s="6">
        <v>55.1</v>
      </c>
      <c r="K68" s="6">
        <v>16.7</v>
      </c>
      <c r="L68" s="26">
        <v>5.55</v>
      </c>
    </row>
    <row r="69" spans="1:12" ht="15" customHeight="1" x14ac:dyDescent="0.25">
      <c r="A69" s="10" t="s">
        <v>456</v>
      </c>
      <c r="B69" s="10" t="s">
        <v>370</v>
      </c>
      <c r="C69" s="10" t="s">
        <v>371</v>
      </c>
      <c r="D69" s="11">
        <v>289</v>
      </c>
      <c r="E69" s="6">
        <v>0.6</v>
      </c>
      <c r="F69" s="6">
        <v>4.5</v>
      </c>
      <c r="G69" s="6">
        <v>1.69</v>
      </c>
      <c r="H69" s="6">
        <v>6.1</v>
      </c>
      <c r="I69" s="6">
        <v>-3.2</v>
      </c>
      <c r="J69" s="6">
        <v>32.799999999999997</v>
      </c>
      <c r="K69" s="6">
        <v>2.2000000000000002</v>
      </c>
      <c r="L69" s="26">
        <v>34.04</v>
      </c>
    </row>
    <row r="70" spans="1:12" ht="15" customHeight="1" x14ac:dyDescent="0.25">
      <c r="A70" s="10" t="s">
        <v>457</v>
      </c>
      <c r="B70" s="10" t="s">
        <v>370</v>
      </c>
      <c r="C70" s="10" t="s">
        <v>373</v>
      </c>
      <c r="D70" s="11">
        <v>107</v>
      </c>
      <c r="E70" s="6"/>
      <c r="F70" s="6">
        <v>2.25</v>
      </c>
      <c r="G70" s="6">
        <v>14.37</v>
      </c>
      <c r="H70" s="6">
        <v>1.5</v>
      </c>
      <c r="I70" s="6">
        <v>-11.1</v>
      </c>
      <c r="J70" s="6">
        <v>119</v>
      </c>
      <c r="K70" s="6">
        <v>-0.5</v>
      </c>
      <c r="L70" s="26">
        <v>9.75</v>
      </c>
    </row>
    <row r="71" spans="1:12" ht="15" customHeight="1" x14ac:dyDescent="0.25">
      <c r="A71" s="10" t="s">
        <v>458</v>
      </c>
      <c r="B71" s="10" t="s">
        <v>379</v>
      </c>
      <c r="C71" s="10" t="s">
        <v>380</v>
      </c>
      <c r="D71" s="11">
        <v>85</v>
      </c>
      <c r="E71" s="6">
        <v>0.2</v>
      </c>
      <c r="F71" s="6">
        <v>2.15</v>
      </c>
      <c r="G71" s="6">
        <v>3.8</v>
      </c>
      <c r="H71" s="6">
        <v>8.6</v>
      </c>
      <c r="I71" s="6">
        <v>-1.3</v>
      </c>
      <c r="J71" s="6">
        <v>38.200000000000003</v>
      </c>
      <c r="K71" s="6">
        <v>1.9</v>
      </c>
      <c r="L71" s="26">
        <v>2.89</v>
      </c>
    </row>
    <row r="72" spans="1:12" ht="15" customHeight="1" x14ac:dyDescent="0.25">
      <c r="A72" s="10" t="s">
        <v>459</v>
      </c>
      <c r="B72" s="10" t="s">
        <v>364</v>
      </c>
      <c r="C72" s="10" t="s">
        <v>387</v>
      </c>
      <c r="D72" s="11">
        <v>15</v>
      </c>
      <c r="E72" s="6">
        <v>0.9</v>
      </c>
      <c r="F72" s="6">
        <v>4.5</v>
      </c>
      <c r="G72" s="6">
        <v>5.2</v>
      </c>
      <c r="H72" s="6">
        <v>6</v>
      </c>
      <c r="I72" s="6">
        <v>-5.7</v>
      </c>
      <c r="J72" s="6">
        <v>82.1</v>
      </c>
      <c r="K72" s="6">
        <v>-4.2</v>
      </c>
      <c r="L72" s="26">
        <v>1.26</v>
      </c>
    </row>
    <row r="73" spans="1:12" ht="15" customHeight="1" x14ac:dyDescent="0.25">
      <c r="A73" s="10" t="s">
        <v>460</v>
      </c>
      <c r="B73" s="10" t="s">
        <v>367</v>
      </c>
      <c r="C73" s="10" t="s">
        <v>377</v>
      </c>
      <c r="D73" s="11">
        <v>1238</v>
      </c>
      <c r="E73" s="6">
        <v>2.1</v>
      </c>
      <c r="F73" s="6">
        <v>5</v>
      </c>
      <c r="G73" s="6">
        <v>2.1</v>
      </c>
      <c r="H73" s="6">
        <v>2.8</v>
      </c>
      <c r="I73" s="6">
        <v>-2.8</v>
      </c>
      <c r="J73" s="6">
        <v>29.9</v>
      </c>
      <c r="K73" s="6">
        <v>5.9</v>
      </c>
      <c r="L73" s="26">
        <v>35.299999999999997</v>
      </c>
    </row>
    <row r="74" spans="1:12" ht="15" customHeight="1" x14ac:dyDescent="0.25">
      <c r="A74" s="10" t="s">
        <v>461</v>
      </c>
      <c r="B74" s="10" t="s">
        <v>364</v>
      </c>
      <c r="C74" s="10" t="s">
        <v>413</v>
      </c>
      <c r="D74" s="11">
        <v>21</v>
      </c>
      <c r="E74" s="6"/>
      <c r="F74" s="6">
        <v>5.25</v>
      </c>
      <c r="G74" s="6">
        <v>1</v>
      </c>
      <c r="H74" s="6">
        <v>1.4</v>
      </c>
      <c r="I74" s="6">
        <v>-3.7</v>
      </c>
      <c r="J74" s="6">
        <v>53</v>
      </c>
      <c r="K74" s="6">
        <v>-6.4</v>
      </c>
      <c r="L74" s="26">
        <v>13.75</v>
      </c>
    </row>
    <row r="75" spans="1:12" ht="15" customHeight="1" x14ac:dyDescent="0.25">
      <c r="A75" s="10" t="s">
        <v>462</v>
      </c>
      <c r="B75" s="10" t="s">
        <v>379</v>
      </c>
      <c r="C75" s="10" t="s">
        <v>383</v>
      </c>
      <c r="D75" s="11">
        <v>142</v>
      </c>
      <c r="E75" s="6">
        <v>0.1</v>
      </c>
      <c r="F75" s="6">
        <v>2.15</v>
      </c>
      <c r="G75" s="6">
        <v>4.4000000000000004</v>
      </c>
      <c r="H75" s="6">
        <v>5</v>
      </c>
      <c r="I75" s="6">
        <v>-5.3</v>
      </c>
      <c r="J75" s="6">
        <v>59.3</v>
      </c>
      <c r="K75" s="6">
        <v>-2.8</v>
      </c>
      <c r="L75" s="26">
        <v>5.42</v>
      </c>
    </row>
    <row r="76" spans="1:12" ht="15" customHeight="1" x14ac:dyDescent="0.25">
      <c r="A76" s="10" t="s">
        <v>463</v>
      </c>
      <c r="B76" s="10" t="s">
        <v>364</v>
      </c>
      <c r="C76" s="10" t="s">
        <v>413</v>
      </c>
      <c r="D76" s="11">
        <v>3</v>
      </c>
      <c r="E76" s="6">
        <v>-3</v>
      </c>
      <c r="F76" s="6">
        <v>2.5</v>
      </c>
      <c r="G76" s="6">
        <v>2.7</v>
      </c>
      <c r="H76" s="6">
        <v>11.9</v>
      </c>
      <c r="I76" s="6">
        <v>-2.9</v>
      </c>
      <c r="J76" s="6">
        <v>109.2</v>
      </c>
      <c r="K76" s="6">
        <v>-5.8</v>
      </c>
      <c r="L76" s="26">
        <v>0.59</v>
      </c>
    </row>
    <row r="77" spans="1:12" ht="15" customHeight="1" x14ac:dyDescent="0.25">
      <c r="A77" s="10" t="s">
        <v>464</v>
      </c>
      <c r="B77" s="10" t="s">
        <v>367</v>
      </c>
      <c r="C77" s="10" t="s">
        <v>411</v>
      </c>
      <c r="D77" s="11">
        <v>115</v>
      </c>
      <c r="E77" s="6"/>
      <c r="F77" s="6">
        <v>14</v>
      </c>
      <c r="G77" s="6">
        <v>8.9</v>
      </c>
      <c r="H77" s="6">
        <v>4.5</v>
      </c>
      <c r="I77" s="6">
        <v>-3</v>
      </c>
      <c r="J77" s="6">
        <v>35</v>
      </c>
      <c r="K77" s="6">
        <v>-5</v>
      </c>
      <c r="L77" s="26">
        <v>36.799999999999997</v>
      </c>
    </row>
    <row r="78" spans="1:12" ht="15" customHeight="1" x14ac:dyDescent="0.25">
      <c r="A78" s="10" t="s">
        <v>465</v>
      </c>
      <c r="B78" s="10" t="s">
        <v>379</v>
      </c>
      <c r="C78" s="10" t="s">
        <v>380</v>
      </c>
      <c r="D78" s="11">
        <v>610</v>
      </c>
      <c r="E78" s="6">
        <v>0.1</v>
      </c>
      <c r="F78" s="6">
        <v>2</v>
      </c>
      <c r="G78" s="6">
        <v>0.8</v>
      </c>
      <c r="H78" s="6">
        <v>8</v>
      </c>
      <c r="I78" s="6">
        <v>-1.5</v>
      </c>
      <c r="J78" s="6">
        <v>33.5</v>
      </c>
      <c r="K78" s="6">
        <v>6</v>
      </c>
      <c r="L78" s="26">
        <v>10.59</v>
      </c>
    </row>
    <row r="79" spans="1:12" ht="15" customHeight="1" x14ac:dyDescent="0.25">
      <c r="A79" s="10" t="s">
        <v>466</v>
      </c>
      <c r="B79" s="10" t="s">
        <v>367</v>
      </c>
      <c r="C79" s="10" t="s">
        <v>385</v>
      </c>
      <c r="D79" s="11">
        <v>450</v>
      </c>
      <c r="E79" s="6">
        <v>5.82</v>
      </c>
      <c r="F79" s="6">
        <v>10</v>
      </c>
      <c r="G79" s="6">
        <v>8.5500000000000007</v>
      </c>
      <c r="H79" s="6">
        <v>4.7</v>
      </c>
      <c r="I79" s="6">
        <v>-4.5999999999999996</v>
      </c>
      <c r="J79" s="6">
        <v>31.7</v>
      </c>
      <c r="K79" s="6">
        <v>-1.4</v>
      </c>
      <c r="L79" s="26">
        <v>171.6</v>
      </c>
    </row>
    <row r="80" spans="1:12" ht="15" customHeight="1" x14ac:dyDescent="0.25">
      <c r="A80" s="10" t="s">
        <v>467</v>
      </c>
      <c r="B80" s="10" t="s">
        <v>367</v>
      </c>
      <c r="C80" s="10" t="s">
        <v>430</v>
      </c>
      <c r="D80" s="11">
        <v>757</v>
      </c>
      <c r="E80" s="6">
        <v>3.05</v>
      </c>
      <c r="F80" s="6">
        <v>2</v>
      </c>
      <c r="G80" s="6">
        <v>1.54</v>
      </c>
      <c r="H80" s="6">
        <v>3.33</v>
      </c>
      <c r="I80" s="6">
        <v>0.4</v>
      </c>
      <c r="J80" s="6">
        <v>28.2</v>
      </c>
      <c r="K80" s="6">
        <v>15.7</v>
      </c>
      <c r="L80" s="26">
        <v>23.4</v>
      </c>
    </row>
    <row r="81" spans="1:12" ht="15" customHeight="1" x14ac:dyDescent="0.25">
      <c r="A81" s="10" t="s">
        <v>468</v>
      </c>
      <c r="B81" s="10" t="s">
        <v>379</v>
      </c>
      <c r="C81" s="10" t="s">
        <v>392</v>
      </c>
      <c r="D81" s="11">
        <v>2373</v>
      </c>
      <c r="E81" s="6">
        <v>-0.1</v>
      </c>
      <c r="F81" s="6">
        <v>2.15</v>
      </c>
      <c r="G81" s="6">
        <v>1.7</v>
      </c>
      <c r="H81" s="6">
        <v>6.3</v>
      </c>
      <c r="I81" s="6">
        <v>-3.4</v>
      </c>
      <c r="J81" s="6">
        <v>135.30000000000001</v>
      </c>
      <c r="K81" s="6">
        <v>1.1000000000000001</v>
      </c>
      <c r="L81" s="26">
        <v>58.93</v>
      </c>
    </row>
    <row r="82" spans="1:12" ht="15" customHeight="1" x14ac:dyDescent="0.25">
      <c r="A82" s="10" t="s">
        <v>469</v>
      </c>
      <c r="B82" s="10" t="s">
        <v>364</v>
      </c>
      <c r="C82" s="10" t="s">
        <v>389</v>
      </c>
      <c r="D82" s="11">
        <v>21</v>
      </c>
      <c r="E82" s="6"/>
      <c r="F82" s="6">
        <v>4.5</v>
      </c>
      <c r="G82" s="6">
        <v>-4.7</v>
      </c>
      <c r="H82" s="6">
        <v>0.9</v>
      </c>
      <c r="I82" s="6">
        <v>-2</v>
      </c>
      <c r="J82" s="6">
        <v>33.799999999999997</v>
      </c>
      <c r="K82" s="6">
        <v>-9.6999999999999993</v>
      </c>
      <c r="L82" s="26">
        <v>18.68</v>
      </c>
    </row>
    <row r="83" spans="1:12" ht="15" customHeight="1" x14ac:dyDescent="0.25">
      <c r="A83" s="10" t="s">
        <v>470</v>
      </c>
      <c r="B83" s="10" t="s">
        <v>367</v>
      </c>
      <c r="C83" s="10" t="s">
        <v>377</v>
      </c>
      <c r="D83" s="11">
        <v>20</v>
      </c>
      <c r="E83" s="6"/>
      <c r="F83" s="6"/>
      <c r="G83" s="6">
        <v>15.87</v>
      </c>
      <c r="H83" s="6">
        <v>13</v>
      </c>
      <c r="I83" s="6">
        <v>-11.4</v>
      </c>
      <c r="J83" s="6">
        <v>30.01</v>
      </c>
      <c r="K83" s="6">
        <v>-0.9</v>
      </c>
      <c r="L83" s="26">
        <v>24.67</v>
      </c>
    </row>
    <row r="84" spans="1:12" ht="15" customHeight="1" x14ac:dyDescent="0.25">
      <c r="A84" s="10" t="s">
        <v>471</v>
      </c>
      <c r="B84" s="10" t="s">
        <v>370</v>
      </c>
      <c r="C84" s="10" t="s">
        <v>371</v>
      </c>
      <c r="D84" s="11">
        <v>330</v>
      </c>
      <c r="E84" s="6">
        <v>0.4</v>
      </c>
      <c r="F84" s="6">
        <v>4.75</v>
      </c>
      <c r="G84" s="6">
        <v>4.3</v>
      </c>
      <c r="H84" s="6">
        <v>8.9</v>
      </c>
      <c r="I84" s="6">
        <v>-2.8</v>
      </c>
      <c r="J84" s="6">
        <v>41.7</v>
      </c>
      <c r="K84" s="6">
        <v>-1.5</v>
      </c>
      <c r="L84" s="26">
        <v>18.48</v>
      </c>
    </row>
    <row r="85" spans="1:12" ht="15" customHeight="1" x14ac:dyDescent="0.25">
      <c r="A85" s="10" t="s">
        <v>472</v>
      </c>
      <c r="B85" s="10" t="s">
        <v>364</v>
      </c>
      <c r="C85" s="10" t="s">
        <v>413</v>
      </c>
      <c r="D85" s="11">
        <v>32</v>
      </c>
      <c r="E85" s="6">
        <v>-1.2</v>
      </c>
      <c r="F85" s="6">
        <v>5.25</v>
      </c>
      <c r="G85" s="6">
        <v>1.8</v>
      </c>
      <c r="H85" s="6">
        <v>21.7</v>
      </c>
      <c r="I85" s="6">
        <v>-11.7</v>
      </c>
      <c r="J85" s="6">
        <v>56.1</v>
      </c>
      <c r="K85" s="6">
        <v>-12.1</v>
      </c>
      <c r="L85" s="26">
        <v>18.8</v>
      </c>
    </row>
    <row r="86" spans="1:12" ht="15" customHeight="1" x14ac:dyDescent="0.25">
      <c r="A86" s="10" t="s">
        <v>473</v>
      </c>
      <c r="B86" s="10" t="s">
        <v>364</v>
      </c>
      <c r="C86" s="10" t="s">
        <v>413</v>
      </c>
      <c r="D86" s="11">
        <v>23</v>
      </c>
      <c r="E86" s="6"/>
      <c r="F86" s="6">
        <v>5.25</v>
      </c>
      <c r="G86" s="6">
        <v>1.1000000000000001</v>
      </c>
      <c r="H86" s="6">
        <v>5.2</v>
      </c>
      <c r="I86" s="6">
        <v>-5.7</v>
      </c>
      <c r="J86" s="6">
        <v>52.7</v>
      </c>
      <c r="K86" s="6">
        <v>-5.4</v>
      </c>
      <c r="L86" s="26">
        <v>23.4</v>
      </c>
    </row>
    <row r="87" spans="1:12" ht="15" customHeight="1" x14ac:dyDescent="0.25">
      <c r="A87" s="10" t="s">
        <v>474</v>
      </c>
      <c r="B87" s="10" t="s">
        <v>379</v>
      </c>
      <c r="C87" s="10" t="s">
        <v>444</v>
      </c>
      <c r="D87" s="11">
        <v>383</v>
      </c>
      <c r="E87" s="6">
        <v>1.2</v>
      </c>
      <c r="F87" s="6">
        <v>6.5</v>
      </c>
      <c r="G87" s="6">
        <v>7.84</v>
      </c>
      <c r="H87" s="6">
        <v>5.8</v>
      </c>
      <c r="I87" s="6">
        <v>-9.3000000000000007</v>
      </c>
      <c r="J87" s="6">
        <v>54.8</v>
      </c>
      <c r="K87" s="6">
        <v>-7.5</v>
      </c>
      <c r="L87" s="26">
        <v>19.04</v>
      </c>
    </row>
    <row r="88" spans="1:12" ht="15" customHeight="1" x14ac:dyDescent="0.25">
      <c r="A88" s="10" t="s">
        <v>475</v>
      </c>
      <c r="B88" s="10" t="s">
        <v>370</v>
      </c>
      <c r="C88" s="10" t="s">
        <v>371</v>
      </c>
      <c r="D88" s="11">
        <v>2179</v>
      </c>
      <c r="E88" s="6">
        <v>1.4</v>
      </c>
      <c r="F88" s="6">
        <v>15</v>
      </c>
      <c r="G88" s="6">
        <v>5.23</v>
      </c>
      <c r="H88" s="6">
        <v>5.8</v>
      </c>
      <c r="I88" s="6">
        <v>-8.5</v>
      </c>
      <c r="J88" s="6">
        <v>76.5</v>
      </c>
      <c r="K88" s="6">
        <v>-2.5499999999999998</v>
      </c>
      <c r="L88" s="26">
        <v>212.58</v>
      </c>
    </row>
    <row r="89" spans="1:12" ht="15" customHeight="1" x14ac:dyDescent="0.25">
      <c r="A89" s="10" t="s">
        <v>476</v>
      </c>
      <c r="B89" s="10" t="s">
        <v>379</v>
      </c>
      <c r="C89" s="10" t="s">
        <v>380</v>
      </c>
      <c r="D89" s="11">
        <v>43</v>
      </c>
      <c r="E89" s="6">
        <v>-0.3</v>
      </c>
      <c r="F89" s="6">
        <v>2.15</v>
      </c>
      <c r="G89" s="6">
        <v>5.4</v>
      </c>
      <c r="H89" s="6">
        <v>7.8</v>
      </c>
      <c r="I89" s="6">
        <v>-1.5</v>
      </c>
      <c r="J89" s="6">
        <v>23.6</v>
      </c>
      <c r="K89" s="6">
        <v>-1.1000000000000001</v>
      </c>
      <c r="L89" s="26">
        <v>1.38</v>
      </c>
    </row>
    <row r="90" spans="1:12" ht="15" customHeight="1" x14ac:dyDescent="0.25">
      <c r="A90" s="10" t="s">
        <v>477</v>
      </c>
      <c r="B90" s="10" t="s">
        <v>364</v>
      </c>
      <c r="C90" s="10" t="s">
        <v>413</v>
      </c>
      <c r="D90" s="11">
        <v>10</v>
      </c>
      <c r="E90" s="6"/>
      <c r="F90" s="6">
        <v>5.25</v>
      </c>
      <c r="G90" s="6">
        <v>-1.1000000000000001</v>
      </c>
      <c r="H90" s="6">
        <v>3.1</v>
      </c>
      <c r="I90" s="6">
        <v>-6.1</v>
      </c>
      <c r="J90" s="6">
        <v>69</v>
      </c>
      <c r="K90" s="6">
        <v>-3.3</v>
      </c>
      <c r="L90" s="26">
        <v>9.52</v>
      </c>
    </row>
    <row r="91" spans="1:12" ht="15" customHeight="1" x14ac:dyDescent="0.25">
      <c r="A91" s="10" t="s">
        <v>478</v>
      </c>
      <c r="B91" s="10" t="s">
        <v>367</v>
      </c>
      <c r="C91" s="10" t="s">
        <v>368</v>
      </c>
      <c r="D91" s="11">
        <v>46</v>
      </c>
      <c r="E91" s="6"/>
      <c r="F91" s="6">
        <v>0.42</v>
      </c>
      <c r="G91" s="6">
        <v>1.66</v>
      </c>
      <c r="H91" s="6">
        <v>0.27</v>
      </c>
      <c r="I91" s="6">
        <v>-3.44</v>
      </c>
      <c r="J91" s="6">
        <v>26.6</v>
      </c>
      <c r="K91" s="6">
        <v>1.3</v>
      </c>
      <c r="L91" s="26">
        <v>17.64</v>
      </c>
    </row>
    <row r="92" spans="1:12" ht="15" customHeight="1" x14ac:dyDescent="0.25">
      <c r="A92" s="10" t="s">
        <v>479</v>
      </c>
      <c r="B92" s="10" t="s">
        <v>370</v>
      </c>
      <c r="C92" s="10" t="s">
        <v>373</v>
      </c>
      <c r="D92" s="11">
        <v>124</v>
      </c>
      <c r="E92" s="6">
        <v>-0.5</v>
      </c>
      <c r="F92" s="6">
        <v>5.75</v>
      </c>
      <c r="G92" s="6">
        <v>3.4</v>
      </c>
      <c r="H92" s="6">
        <v>4.9000000000000004</v>
      </c>
      <c r="I92" s="6">
        <v>-3.09</v>
      </c>
      <c r="J92" s="6">
        <v>57.57</v>
      </c>
      <c r="K92" s="6">
        <v>-3.4</v>
      </c>
      <c r="L92" s="26">
        <v>10.8</v>
      </c>
    </row>
    <row r="93" spans="1:12" ht="15" customHeight="1" x14ac:dyDescent="0.25">
      <c r="A93" s="10" t="s">
        <v>480</v>
      </c>
      <c r="B93" s="10" t="s">
        <v>370</v>
      </c>
      <c r="C93" s="10" t="s">
        <v>375</v>
      </c>
      <c r="D93" s="11">
        <v>2241</v>
      </c>
      <c r="E93" s="6">
        <v>0.5</v>
      </c>
      <c r="F93" s="6">
        <v>2.75</v>
      </c>
      <c r="G93" s="6">
        <v>1.7</v>
      </c>
      <c r="H93" s="6">
        <v>6.9</v>
      </c>
      <c r="I93" s="6">
        <v>-2.1</v>
      </c>
      <c r="J93" s="6">
        <v>110.8</v>
      </c>
      <c r="K93" s="6">
        <v>-1</v>
      </c>
      <c r="L93" s="26">
        <v>41.53</v>
      </c>
    </row>
    <row r="94" spans="1:12" ht="15" customHeight="1" x14ac:dyDescent="0.25">
      <c r="A94" s="10" t="s">
        <v>481</v>
      </c>
      <c r="B94" s="10" t="s">
        <v>370</v>
      </c>
      <c r="C94" s="10" t="s">
        <v>371</v>
      </c>
      <c r="D94" s="11">
        <v>44</v>
      </c>
      <c r="E94" s="6">
        <v>3.3</v>
      </c>
      <c r="F94" s="6">
        <v>6</v>
      </c>
      <c r="G94" s="6">
        <v>4.3</v>
      </c>
      <c r="H94" s="6">
        <v>5.6</v>
      </c>
      <c r="I94" s="6">
        <v>-2.1</v>
      </c>
      <c r="J94" s="6">
        <v>45.2</v>
      </c>
      <c r="K94" s="6">
        <v>-3.9</v>
      </c>
      <c r="L94" s="26">
        <v>7.66</v>
      </c>
    </row>
    <row r="95" spans="1:12" ht="15" customHeight="1" x14ac:dyDescent="0.25">
      <c r="A95" s="10" t="s">
        <v>482</v>
      </c>
      <c r="B95" s="10" t="s">
        <v>367</v>
      </c>
      <c r="C95" s="10" t="s">
        <v>411</v>
      </c>
      <c r="D95" s="11">
        <v>288</v>
      </c>
      <c r="E95" s="6">
        <v>1.26</v>
      </c>
      <c r="F95" s="6">
        <v>16.5</v>
      </c>
      <c r="G95" s="6">
        <v>11.8</v>
      </c>
      <c r="H95" s="6">
        <v>4.5999999999999996</v>
      </c>
      <c r="I95" s="6">
        <v>-2.2999999999999998</v>
      </c>
      <c r="J95" s="6">
        <v>23.7</v>
      </c>
      <c r="K95" s="6">
        <v>1.3</v>
      </c>
      <c r="L95" s="26">
        <v>20.27</v>
      </c>
    </row>
    <row r="96" spans="1:12" ht="15" customHeight="1" x14ac:dyDescent="0.25">
      <c r="A96" s="10" t="s">
        <v>483</v>
      </c>
      <c r="B96" s="10" t="s">
        <v>367</v>
      </c>
      <c r="C96" s="10" t="s">
        <v>368</v>
      </c>
      <c r="D96" s="11">
        <v>1396</v>
      </c>
      <c r="E96" s="6">
        <v>4.04</v>
      </c>
      <c r="F96" s="6">
        <v>5</v>
      </c>
      <c r="G96" s="6">
        <v>2.37</v>
      </c>
      <c r="H96" s="6">
        <v>4.76</v>
      </c>
      <c r="I96" s="6">
        <v>-2.2999999999999998</v>
      </c>
      <c r="J96" s="6">
        <v>38.799999999999997</v>
      </c>
      <c r="K96" s="6">
        <v>-0.63</v>
      </c>
      <c r="L96" s="26">
        <v>281.60000000000002</v>
      </c>
    </row>
    <row r="97" spans="1:12" ht="15" customHeight="1" x14ac:dyDescent="0.25">
      <c r="A97" s="10" t="s">
        <v>484</v>
      </c>
      <c r="B97" s="10" t="s">
        <v>379</v>
      </c>
      <c r="C97" s="10" t="s">
        <v>403</v>
      </c>
      <c r="D97" s="11">
        <v>93</v>
      </c>
      <c r="E97" s="6">
        <v>-1</v>
      </c>
      <c r="F97" s="6">
        <v>2.15</v>
      </c>
      <c r="G97" s="6">
        <v>2.2999999999999998</v>
      </c>
      <c r="H97" s="6">
        <v>5.9</v>
      </c>
      <c r="I97" s="6">
        <v>1</v>
      </c>
      <c r="J97" s="6">
        <v>26.3</v>
      </c>
      <c r="K97" s="6">
        <v>6.9</v>
      </c>
      <c r="L97" s="26">
        <v>0.67</v>
      </c>
    </row>
    <row r="98" spans="1:12" ht="15" customHeight="1" x14ac:dyDescent="0.25">
      <c r="A98" s="10" t="s">
        <v>485</v>
      </c>
      <c r="B98" s="10" t="s">
        <v>364</v>
      </c>
      <c r="C98" s="10" t="s">
        <v>387</v>
      </c>
      <c r="D98" s="11">
        <v>2</v>
      </c>
      <c r="E98" s="6"/>
      <c r="F98" s="6">
        <v>3.08</v>
      </c>
      <c r="G98" s="6">
        <v>4.4000000000000004</v>
      </c>
      <c r="H98" s="6">
        <v>3.9</v>
      </c>
      <c r="I98" s="6">
        <v>-3.2</v>
      </c>
      <c r="J98" s="6">
        <v>28.4</v>
      </c>
      <c r="K98" s="6">
        <v>-3.5</v>
      </c>
      <c r="L98" s="26">
        <v>0.87</v>
      </c>
    </row>
    <row r="99" spans="1:12" ht="15" customHeight="1" x14ac:dyDescent="0.25">
      <c r="A99" s="10" t="s">
        <v>486</v>
      </c>
      <c r="B99" s="10" t="s">
        <v>379</v>
      </c>
      <c r="C99" s="10" t="s">
        <v>444</v>
      </c>
      <c r="D99" s="11">
        <v>112</v>
      </c>
      <c r="E99" s="6">
        <v>0.7</v>
      </c>
      <c r="F99" s="6">
        <v>1.82</v>
      </c>
      <c r="G99" s="6">
        <v>5.3</v>
      </c>
      <c r="H99" s="6">
        <v>5.0999999999999996</v>
      </c>
      <c r="I99" s="6">
        <v>-3</v>
      </c>
      <c r="J99" s="6">
        <v>24.1</v>
      </c>
      <c r="K99" s="6">
        <v>-1</v>
      </c>
      <c r="L99" s="26">
        <v>6.44</v>
      </c>
    </row>
    <row r="100" spans="1:12" ht="15" customHeight="1" x14ac:dyDescent="0.25">
      <c r="A100" s="10" t="s">
        <v>487</v>
      </c>
      <c r="B100" s="10" t="s">
        <v>370</v>
      </c>
      <c r="C100" s="10" t="s">
        <v>416</v>
      </c>
      <c r="D100" s="11">
        <v>37</v>
      </c>
      <c r="E100" s="6">
        <v>1.7</v>
      </c>
      <c r="F100" s="6">
        <v>5.75</v>
      </c>
      <c r="G100" s="6">
        <v>4.41</v>
      </c>
      <c r="H100" s="6">
        <v>5.2</v>
      </c>
      <c r="I100" s="6">
        <v>-1.78</v>
      </c>
      <c r="J100" s="6">
        <v>39.799999999999997</v>
      </c>
      <c r="K100" s="6">
        <v>-4.5999999999999996</v>
      </c>
      <c r="L100" s="26">
        <v>9.89</v>
      </c>
    </row>
    <row r="101" spans="1:12" ht="15" customHeight="1" x14ac:dyDescent="0.25">
      <c r="A101" s="10" t="s">
        <v>488</v>
      </c>
      <c r="B101" s="10" t="s">
        <v>370</v>
      </c>
      <c r="C101" s="10" t="s">
        <v>371</v>
      </c>
      <c r="D101" s="11">
        <v>81</v>
      </c>
      <c r="E101" s="6">
        <v>0.6</v>
      </c>
      <c r="F101" s="6">
        <v>8.75</v>
      </c>
      <c r="G101" s="6">
        <v>4.53</v>
      </c>
      <c r="H101" s="6">
        <v>7.3</v>
      </c>
      <c r="I101" s="6">
        <v>-3.2</v>
      </c>
      <c r="J101" s="6">
        <v>70.3</v>
      </c>
      <c r="K101" s="6">
        <v>-3.3</v>
      </c>
      <c r="L101" s="26">
        <v>3.57</v>
      </c>
    </row>
    <row r="102" spans="1:12" ht="15" customHeight="1" x14ac:dyDescent="0.25">
      <c r="A102" s="10" t="s">
        <v>489</v>
      </c>
      <c r="B102" s="10" t="s">
        <v>364</v>
      </c>
      <c r="C102" s="10" t="s">
        <v>387</v>
      </c>
      <c r="D102" s="11">
        <v>164</v>
      </c>
      <c r="E102" s="6"/>
      <c r="F102" s="6">
        <v>15</v>
      </c>
      <c r="G102" s="6">
        <v>13.7</v>
      </c>
      <c r="H102" s="6">
        <v>18.899999999999999</v>
      </c>
      <c r="I102" s="6">
        <v>-2</v>
      </c>
      <c r="J102" s="6">
        <v>32</v>
      </c>
      <c r="K102" s="6">
        <v>-3.4</v>
      </c>
      <c r="L102" s="26">
        <v>132.06</v>
      </c>
    </row>
    <row r="103" spans="1:12" ht="15" customHeight="1" x14ac:dyDescent="0.25">
      <c r="A103" s="10" t="s">
        <v>490</v>
      </c>
      <c r="B103" s="10" t="s">
        <v>367</v>
      </c>
      <c r="C103" s="10" t="s">
        <v>411</v>
      </c>
      <c r="D103" s="11">
        <v>14</v>
      </c>
      <c r="E103" s="6"/>
      <c r="F103" s="6">
        <v>7.75</v>
      </c>
      <c r="G103" s="6">
        <v>3.5</v>
      </c>
      <c r="H103" s="6">
        <v>11.6</v>
      </c>
      <c r="I103" s="6">
        <v>1.4</v>
      </c>
      <c r="J103" s="6">
        <v>29.5</v>
      </c>
      <c r="K103" s="6">
        <v>6.2</v>
      </c>
      <c r="L103" s="26">
        <v>10.5</v>
      </c>
    </row>
    <row r="104" spans="1:12" ht="15" customHeight="1" x14ac:dyDescent="0.25">
      <c r="A104" s="10" t="s">
        <v>491</v>
      </c>
      <c r="B104" s="10" t="s">
        <v>364</v>
      </c>
      <c r="C104" s="10" t="s">
        <v>401</v>
      </c>
      <c r="D104" s="11">
        <v>19</v>
      </c>
      <c r="E104" s="6">
        <v>-0.1</v>
      </c>
      <c r="F104" s="6">
        <v>1.9</v>
      </c>
      <c r="G104" s="6">
        <v>1.1000000000000001</v>
      </c>
      <c r="H104" s="6">
        <v>23.1</v>
      </c>
      <c r="I104" s="6">
        <v>-9</v>
      </c>
      <c r="J104" s="6">
        <v>24.9</v>
      </c>
      <c r="K104" s="6">
        <v>-7.3</v>
      </c>
      <c r="L104" s="26">
        <v>2.52</v>
      </c>
    </row>
    <row r="105" spans="1:12" ht="15" customHeight="1" x14ac:dyDescent="0.25">
      <c r="A105" s="10" t="s">
        <v>492</v>
      </c>
      <c r="B105" s="10" t="s">
        <v>379</v>
      </c>
      <c r="C105" s="10" t="s">
        <v>444</v>
      </c>
      <c r="D105" s="11">
        <v>27</v>
      </c>
      <c r="E105" s="6">
        <v>0.7</v>
      </c>
      <c r="F105" s="6">
        <v>2.5</v>
      </c>
      <c r="G105" s="6">
        <v>2.5</v>
      </c>
      <c r="H105" s="6">
        <v>8.6999999999999993</v>
      </c>
      <c r="I105" s="6">
        <v>-0.7</v>
      </c>
      <c r="J105" s="6">
        <v>54.7</v>
      </c>
      <c r="K105" s="6">
        <v>-2.4</v>
      </c>
      <c r="L105" s="26">
        <v>2.36</v>
      </c>
    </row>
    <row r="106" spans="1:12" ht="15" customHeight="1" x14ac:dyDescent="0.25">
      <c r="A106" s="10" t="s">
        <v>493</v>
      </c>
      <c r="B106" s="10" t="s">
        <v>364</v>
      </c>
      <c r="C106" s="10" t="s">
        <v>413</v>
      </c>
      <c r="D106" s="11">
        <v>188</v>
      </c>
      <c r="E106" s="6">
        <v>10</v>
      </c>
      <c r="F106" s="6">
        <v>27.5</v>
      </c>
      <c r="G106" s="6">
        <v>21.88</v>
      </c>
      <c r="H106" s="6">
        <v>4.3</v>
      </c>
      <c r="I106" s="6">
        <v>-6.1</v>
      </c>
      <c r="J106" s="6">
        <v>52.9</v>
      </c>
      <c r="K106" s="6">
        <v>-0.5</v>
      </c>
      <c r="L106" s="26">
        <v>232.68</v>
      </c>
    </row>
    <row r="107" spans="1:12" ht="15" customHeight="1" x14ac:dyDescent="0.25">
      <c r="A107" s="10" t="s">
        <v>494</v>
      </c>
      <c r="B107" s="10" t="s">
        <v>364</v>
      </c>
      <c r="C107" s="10" t="s">
        <v>413</v>
      </c>
      <c r="D107" s="11">
        <v>3</v>
      </c>
      <c r="E107" s="6"/>
      <c r="F107" s="6">
        <v>17</v>
      </c>
      <c r="G107" s="6">
        <v>7.16</v>
      </c>
      <c r="H107" s="6">
        <v>6.5</v>
      </c>
      <c r="I107" s="6">
        <v>-3.6</v>
      </c>
      <c r="J107" s="6">
        <v>72</v>
      </c>
      <c r="K107" s="6">
        <v>-3</v>
      </c>
      <c r="L107" s="26">
        <v>2.76</v>
      </c>
    </row>
    <row r="108" spans="1:12" ht="15" customHeight="1" x14ac:dyDescent="0.25">
      <c r="A108" s="10" t="s">
        <v>495</v>
      </c>
      <c r="B108" s="10" t="s">
        <v>379</v>
      </c>
      <c r="C108" s="10" t="s">
        <v>392</v>
      </c>
      <c r="D108" s="11">
        <v>36</v>
      </c>
      <c r="E108" s="6">
        <v>0.5</v>
      </c>
      <c r="F108" s="6">
        <v>2.15</v>
      </c>
      <c r="G108" s="6">
        <v>-0.9</v>
      </c>
      <c r="H108" s="6">
        <v>3.8</v>
      </c>
      <c r="I108" s="6">
        <v>4.3</v>
      </c>
      <c r="J108" s="6">
        <v>65</v>
      </c>
      <c r="K108" s="6">
        <v>-8.4</v>
      </c>
      <c r="L108" s="26">
        <v>0.98</v>
      </c>
    </row>
    <row r="109" spans="1:12" ht="15" customHeight="1" x14ac:dyDescent="0.25">
      <c r="A109" s="10" t="s">
        <v>496</v>
      </c>
      <c r="B109" s="10" t="s">
        <v>379</v>
      </c>
      <c r="C109" s="10" t="s">
        <v>392</v>
      </c>
      <c r="D109" s="11">
        <v>309</v>
      </c>
      <c r="E109" s="6">
        <v>0.6</v>
      </c>
      <c r="F109" s="6">
        <v>2.15</v>
      </c>
      <c r="G109" s="6">
        <v>2.6</v>
      </c>
      <c r="H109" s="6">
        <v>6</v>
      </c>
      <c r="I109" s="6">
        <v>0.7</v>
      </c>
      <c r="J109" s="6">
        <v>94.9</v>
      </c>
      <c r="K109" s="6">
        <v>2.2000000000000002</v>
      </c>
      <c r="L109" s="26">
        <v>10.75</v>
      </c>
    </row>
    <row r="110" spans="1:12" ht="15" customHeight="1" x14ac:dyDescent="0.25">
      <c r="A110" s="10" t="s">
        <v>497</v>
      </c>
      <c r="B110" s="10" t="s">
        <v>367</v>
      </c>
      <c r="C110" s="10" t="s">
        <v>430</v>
      </c>
      <c r="D110" s="11">
        <v>18744</v>
      </c>
      <c r="E110" s="6">
        <v>1.1000000000000001</v>
      </c>
      <c r="F110" s="6">
        <v>3</v>
      </c>
      <c r="G110" s="6">
        <v>0</v>
      </c>
      <c r="H110" s="6">
        <v>5.2</v>
      </c>
      <c r="I110" s="6">
        <v>-6.5</v>
      </c>
      <c r="J110" s="6">
        <v>88.3</v>
      </c>
      <c r="K110" s="6">
        <v>2.2000000000000002</v>
      </c>
      <c r="L110" s="26">
        <v>1408</v>
      </c>
    </row>
    <row r="111" spans="1:12" ht="15" customHeight="1" x14ac:dyDescent="0.25">
      <c r="A111" s="10" t="s">
        <v>498</v>
      </c>
      <c r="B111" s="10" t="s">
        <v>367</v>
      </c>
      <c r="C111" s="10" t="s">
        <v>368</v>
      </c>
      <c r="D111" s="11">
        <v>547</v>
      </c>
      <c r="E111" s="6">
        <v>1.4</v>
      </c>
      <c r="F111" s="6">
        <v>1.51</v>
      </c>
      <c r="G111" s="6">
        <v>0.8</v>
      </c>
      <c r="H111" s="6">
        <v>2.1</v>
      </c>
      <c r="I111" s="6">
        <v>-1.6</v>
      </c>
      <c r="J111" s="6">
        <v>173.1</v>
      </c>
      <c r="K111" s="6">
        <v>17.5</v>
      </c>
      <c r="L111" s="26">
        <v>6.04</v>
      </c>
    </row>
    <row r="112" spans="1:12" ht="15" customHeight="1" x14ac:dyDescent="0.25">
      <c r="A112" s="10" t="s">
        <v>499</v>
      </c>
      <c r="B112" s="10" t="s">
        <v>379</v>
      </c>
      <c r="C112" s="10" t="s">
        <v>380</v>
      </c>
      <c r="D112" s="11">
        <v>429</v>
      </c>
      <c r="E112" s="6">
        <v>1.3</v>
      </c>
      <c r="F112" s="6">
        <v>1.6</v>
      </c>
      <c r="G112" s="6">
        <v>2.2999999999999998</v>
      </c>
      <c r="H112" s="6">
        <v>2.5</v>
      </c>
      <c r="I112" s="6">
        <v>4.5</v>
      </c>
      <c r="J112" s="6">
        <v>31.1</v>
      </c>
      <c r="K112" s="6">
        <v>12.1</v>
      </c>
      <c r="L112" s="26">
        <v>5.96</v>
      </c>
    </row>
    <row r="113" spans="1:12" ht="15" customHeight="1" x14ac:dyDescent="0.25">
      <c r="A113" s="10" t="s">
        <v>500</v>
      </c>
      <c r="B113" s="10" t="s">
        <v>364</v>
      </c>
      <c r="C113" s="10" t="s">
        <v>413</v>
      </c>
      <c r="D113" s="11">
        <v>83</v>
      </c>
      <c r="E113" s="6">
        <v>1.4</v>
      </c>
      <c r="F113" s="6">
        <v>25</v>
      </c>
      <c r="G113" s="6">
        <v>12.1</v>
      </c>
      <c r="H113" s="6">
        <v>3</v>
      </c>
      <c r="I113" s="6">
        <v>-4.8</v>
      </c>
      <c r="J113" s="6">
        <v>70.5</v>
      </c>
      <c r="K113" s="6">
        <v>4.4000000000000004</v>
      </c>
      <c r="L113" s="26">
        <v>34.43</v>
      </c>
    </row>
    <row r="114" spans="1:12" ht="15" customHeight="1" x14ac:dyDescent="0.25">
      <c r="A114" s="10" t="s">
        <v>501</v>
      </c>
      <c r="B114" s="10" t="s">
        <v>364</v>
      </c>
      <c r="C114" s="10" t="s">
        <v>413</v>
      </c>
      <c r="D114" s="11">
        <v>5</v>
      </c>
      <c r="E114" s="6"/>
      <c r="F114" s="6">
        <v>17.25</v>
      </c>
      <c r="G114" s="6">
        <v>9.9</v>
      </c>
      <c r="H114" s="6">
        <v>2.9</v>
      </c>
      <c r="I114" s="6">
        <v>-2.7</v>
      </c>
      <c r="J114" s="6">
        <v>54.9</v>
      </c>
      <c r="K114" s="6">
        <v>14.2</v>
      </c>
      <c r="L114" s="26">
        <v>5.61</v>
      </c>
    </row>
    <row r="115" spans="1:12" ht="15" customHeight="1" x14ac:dyDescent="0.25">
      <c r="A115" s="10" t="s">
        <v>502</v>
      </c>
      <c r="B115" s="10" t="s">
        <v>367</v>
      </c>
      <c r="C115" s="10" t="s">
        <v>430</v>
      </c>
      <c r="D115" s="11">
        <v>407</v>
      </c>
      <c r="E115" s="6">
        <v>0.4</v>
      </c>
      <c r="F115" s="6">
        <v>4.75</v>
      </c>
      <c r="G115" s="6">
        <v>1</v>
      </c>
      <c r="H115" s="6">
        <v>3.7</v>
      </c>
      <c r="I115" s="6">
        <v>-5</v>
      </c>
      <c r="J115" s="6">
        <v>9.3000000000000007</v>
      </c>
      <c r="K115" s="6">
        <v>11.5</v>
      </c>
      <c r="L115" s="26">
        <v>7.53</v>
      </c>
    </row>
    <row r="116" spans="1:12" ht="15" customHeight="1" x14ac:dyDescent="0.25">
      <c r="A116" s="10" t="s">
        <v>503</v>
      </c>
      <c r="B116" s="10" t="s">
        <v>370</v>
      </c>
      <c r="C116" s="10" t="s">
        <v>416</v>
      </c>
      <c r="D116" s="11">
        <v>113</v>
      </c>
      <c r="E116" s="6"/>
      <c r="F116" s="6">
        <v>4.5</v>
      </c>
      <c r="G116" s="6">
        <v>1.17</v>
      </c>
      <c r="H116" s="6">
        <v>1.7</v>
      </c>
      <c r="I116" s="6">
        <v>-1.01</v>
      </c>
      <c r="J116" s="6">
        <v>27.9</v>
      </c>
      <c r="K116" s="6">
        <v>2.9</v>
      </c>
      <c r="L116" s="26">
        <v>17.84</v>
      </c>
    </row>
    <row r="117" spans="1:12" ht="15" customHeight="1" x14ac:dyDescent="0.25">
      <c r="A117" s="10" t="s">
        <v>504</v>
      </c>
      <c r="B117" s="10" t="s">
        <v>364</v>
      </c>
      <c r="C117" s="10" t="s">
        <v>413</v>
      </c>
      <c r="D117" s="11">
        <v>8</v>
      </c>
      <c r="E117" s="6"/>
      <c r="F117" s="6">
        <v>21.75</v>
      </c>
      <c r="G117" s="6">
        <v>7.1</v>
      </c>
      <c r="H117" s="6">
        <v>3.1</v>
      </c>
      <c r="I117" s="6">
        <v>-3.2</v>
      </c>
      <c r="J117" s="6">
        <v>43</v>
      </c>
      <c r="K117" s="6">
        <v>-3.8</v>
      </c>
      <c r="L117" s="26">
        <v>8.64</v>
      </c>
    </row>
    <row r="118" spans="1:12" ht="15" customHeight="1" x14ac:dyDescent="0.25">
      <c r="A118" s="10" t="s">
        <v>505</v>
      </c>
      <c r="B118" s="10" t="s">
        <v>379</v>
      </c>
      <c r="C118" s="10" t="s">
        <v>403</v>
      </c>
      <c r="D118" s="11">
        <v>10</v>
      </c>
      <c r="E118" s="6"/>
      <c r="F118" s="6"/>
      <c r="G118" s="6"/>
      <c r="H118" s="6"/>
      <c r="I118" s="6"/>
      <c r="J118" s="6"/>
      <c r="K118" s="6"/>
      <c r="L118" s="26">
        <v>0.04</v>
      </c>
    </row>
    <row r="119" spans="1:12" ht="15" customHeight="1" x14ac:dyDescent="0.25">
      <c r="A119" s="10" t="s">
        <v>506</v>
      </c>
      <c r="B119" s="10" t="s">
        <v>367</v>
      </c>
      <c r="C119" s="10" t="s">
        <v>377</v>
      </c>
      <c r="D119" s="11">
        <v>20</v>
      </c>
      <c r="E119" s="6"/>
      <c r="F119" s="6">
        <v>20</v>
      </c>
      <c r="G119" s="6">
        <v>14.3</v>
      </c>
      <c r="H119" s="6">
        <v>11.5</v>
      </c>
      <c r="I119" s="6">
        <v>-0.4</v>
      </c>
      <c r="J119" s="6">
        <v>164.1</v>
      </c>
      <c r="K119" s="6">
        <v>-31.5</v>
      </c>
      <c r="L119" s="26">
        <v>5.8</v>
      </c>
    </row>
    <row r="120" spans="1:12" ht="15" customHeight="1" x14ac:dyDescent="0.25">
      <c r="A120" s="10" t="s">
        <v>507</v>
      </c>
      <c r="B120" s="10" t="s">
        <v>364</v>
      </c>
      <c r="C120" s="10" t="s">
        <v>387</v>
      </c>
      <c r="D120" s="11">
        <v>2</v>
      </c>
      <c r="E120" s="6"/>
      <c r="F120" s="6">
        <v>1.75</v>
      </c>
      <c r="G120" s="6">
        <v>0.64</v>
      </c>
      <c r="H120" s="6">
        <v>3.2</v>
      </c>
      <c r="I120" s="6">
        <v>0.1</v>
      </c>
      <c r="J120" s="6">
        <v>61</v>
      </c>
      <c r="K120" s="6">
        <v>-7.5</v>
      </c>
      <c r="L120" s="26">
        <v>0.1</v>
      </c>
    </row>
    <row r="121" spans="1:12" ht="15" customHeight="1" x14ac:dyDescent="0.25">
      <c r="A121" s="10" t="s">
        <v>508</v>
      </c>
      <c r="B121" s="10" t="s">
        <v>364</v>
      </c>
      <c r="C121" s="10" t="s">
        <v>387</v>
      </c>
      <c r="D121" s="11">
        <v>26</v>
      </c>
      <c r="E121" s="6"/>
      <c r="F121" s="6">
        <v>14.5</v>
      </c>
      <c r="G121" s="6">
        <v>13</v>
      </c>
      <c r="H121" s="6">
        <v>12</v>
      </c>
      <c r="I121" s="6">
        <v>-3.5</v>
      </c>
      <c r="J121" s="6">
        <v>69.599999999999994</v>
      </c>
      <c r="K121" s="6">
        <v>-1</v>
      </c>
      <c r="L121" s="26">
        <v>19.7</v>
      </c>
    </row>
    <row r="122" spans="1:12" ht="15" customHeight="1" x14ac:dyDescent="0.25">
      <c r="A122" s="10" t="s">
        <v>509</v>
      </c>
      <c r="B122" s="10" t="s">
        <v>370</v>
      </c>
      <c r="C122" s="10" t="s">
        <v>371</v>
      </c>
      <c r="D122" s="11">
        <v>112</v>
      </c>
      <c r="E122" s="6">
        <v>-23.7</v>
      </c>
      <c r="F122" s="6">
        <v>59.23</v>
      </c>
      <c r="G122" s="6">
        <v>172</v>
      </c>
      <c r="H122" s="6">
        <v>5.5</v>
      </c>
      <c r="I122" s="6">
        <v>-3.3</v>
      </c>
      <c r="J122" s="6">
        <v>164.3</v>
      </c>
      <c r="K122" s="6">
        <v>4.0999999999999996</v>
      </c>
      <c r="L122" s="26">
        <v>34.090000000000003</v>
      </c>
    </row>
    <row r="123" spans="1:12" ht="15" customHeight="1" x14ac:dyDescent="0.25">
      <c r="A123" s="10" t="s">
        <v>510</v>
      </c>
      <c r="B123" s="10" t="s">
        <v>370</v>
      </c>
      <c r="C123" s="10" t="s">
        <v>371</v>
      </c>
      <c r="D123" s="11">
        <v>5</v>
      </c>
      <c r="E123" s="6"/>
      <c r="F123" s="6">
        <v>10</v>
      </c>
      <c r="G123" s="6">
        <v>8</v>
      </c>
      <c r="H123" s="6">
        <v>7.3</v>
      </c>
      <c r="I123" s="6">
        <v>-0.5</v>
      </c>
      <c r="J123" s="6">
        <v>87.2</v>
      </c>
      <c r="K123" s="6">
        <v>0.2</v>
      </c>
      <c r="L123" s="26">
        <v>0.63</v>
      </c>
    </row>
    <row r="124" spans="1:12" ht="15" customHeight="1" x14ac:dyDescent="0.25">
      <c r="A124" s="10" t="s">
        <v>511</v>
      </c>
      <c r="B124" s="10" t="s">
        <v>379</v>
      </c>
      <c r="C124" s="10" t="s">
        <v>394</v>
      </c>
      <c r="D124" s="11">
        <v>191</v>
      </c>
      <c r="E124" s="6">
        <v>0.2</v>
      </c>
      <c r="F124" s="6">
        <v>15.5</v>
      </c>
      <c r="G124" s="6">
        <v>14.1</v>
      </c>
      <c r="H124" s="6">
        <v>10.5</v>
      </c>
      <c r="I124" s="6">
        <v>-17.600000000000001</v>
      </c>
      <c r="J124" s="6">
        <v>89.8</v>
      </c>
      <c r="K124" s="6">
        <v>-8.1</v>
      </c>
      <c r="L124" s="26">
        <v>41.21</v>
      </c>
    </row>
    <row r="125" spans="1:12" ht="15" customHeight="1" x14ac:dyDescent="0.25">
      <c r="A125" s="10" t="s">
        <v>512</v>
      </c>
      <c r="B125" s="10" t="s">
        <v>379</v>
      </c>
      <c r="C125" s="10" t="s">
        <v>380</v>
      </c>
      <c r="D125" s="11">
        <v>44</v>
      </c>
      <c r="E125" s="6">
        <v>-0.1</v>
      </c>
      <c r="F125" s="6">
        <v>2.15</v>
      </c>
      <c r="G125" s="6">
        <v>3.8</v>
      </c>
      <c r="H125" s="6">
        <v>6.7</v>
      </c>
      <c r="I125" s="6">
        <v>-1.8</v>
      </c>
      <c r="J125" s="6">
        <v>46.8</v>
      </c>
      <c r="K125" s="6">
        <v>-2.1</v>
      </c>
      <c r="L125" s="26">
        <v>1.87</v>
      </c>
    </row>
    <row r="126" spans="1:12" ht="15" customHeight="1" x14ac:dyDescent="0.25">
      <c r="A126" s="10" t="s">
        <v>513</v>
      </c>
      <c r="B126" s="10" t="s">
        <v>379</v>
      </c>
      <c r="C126" s="10" t="s">
        <v>403</v>
      </c>
      <c r="D126" s="11">
        <v>4660</v>
      </c>
      <c r="E126" s="6">
        <v>-0.3</v>
      </c>
      <c r="F126" s="6">
        <v>2.15</v>
      </c>
      <c r="G126" s="6">
        <v>2</v>
      </c>
      <c r="H126" s="6">
        <v>6.3</v>
      </c>
      <c r="I126" s="6">
        <v>-2.8</v>
      </c>
      <c r="J126" s="6">
        <v>62.5</v>
      </c>
      <c r="K126" s="6">
        <v>5.7</v>
      </c>
      <c r="L126" s="26">
        <v>83.6</v>
      </c>
    </row>
    <row r="127" spans="1:12" ht="15" customHeight="1" x14ac:dyDescent="0.25">
      <c r="A127" s="10" t="s">
        <v>514</v>
      </c>
      <c r="B127" s="10" t="s">
        <v>364</v>
      </c>
      <c r="C127" s="10" t="s">
        <v>387</v>
      </c>
      <c r="D127" s="11">
        <v>2</v>
      </c>
      <c r="E127" s="6"/>
      <c r="F127" s="6"/>
      <c r="G127" s="6">
        <v>9</v>
      </c>
      <c r="H127" s="6">
        <v>5.6</v>
      </c>
      <c r="I127" s="6">
        <v>-3.4</v>
      </c>
      <c r="J127" s="6">
        <v>164</v>
      </c>
      <c r="K127" s="6">
        <v>12.4</v>
      </c>
      <c r="L127" s="26">
        <v>3.21</v>
      </c>
    </row>
    <row r="128" spans="1:12" ht="15" customHeight="1" x14ac:dyDescent="0.25">
      <c r="A128" s="10" t="s">
        <v>515</v>
      </c>
      <c r="B128" s="10" t="s">
        <v>379</v>
      </c>
      <c r="C128" s="10" t="s">
        <v>444</v>
      </c>
      <c r="D128" s="11">
        <v>93</v>
      </c>
      <c r="E128" s="6">
        <v>0.3</v>
      </c>
      <c r="F128" s="6">
        <v>2.15</v>
      </c>
      <c r="G128" s="6">
        <v>4.0999999999999996</v>
      </c>
      <c r="H128" s="6">
        <v>4</v>
      </c>
      <c r="I128" s="6">
        <v>-2.4</v>
      </c>
      <c r="J128" s="6">
        <v>57.7</v>
      </c>
      <c r="K128" s="6">
        <v>-1.2</v>
      </c>
      <c r="L128" s="26">
        <v>3.86</v>
      </c>
    </row>
    <row r="129" spans="1:12" ht="15" customHeight="1" x14ac:dyDescent="0.25">
      <c r="A129" s="10" t="s">
        <v>516</v>
      </c>
      <c r="B129" s="10" t="s">
        <v>433</v>
      </c>
      <c r="C129" s="10" t="s">
        <v>517</v>
      </c>
      <c r="D129" s="11">
        <v>33</v>
      </c>
      <c r="E129" s="6"/>
      <c r="F129" s="6">
        <v>4</v>
      </c>
      <c r="G129" s="6">
        <v>5.28</v>
      </c>
      <c r="H129" s="6">
        <v>2.7</v>
      </c>
      <c r="I129" s="6">
        <v>-4.4000000000000004</v>
      </c>
      <c r="J129" s="6">
        <v>51.1</v>
      </c>
      <c r="K129" s="6">
        <v>17.399999999999999</v>
      </c>
      <c r="L129" s="26">
        <v>10.58</v>
      </c>
    </row>
    <row r="130" spans="1:12" ht="15" customHeight="1" x14ac:dyDescent="0.25">
      <c r="A130" s="10" t="s">
        <v>518</v>
      </c>
      <c r="B130" s="10" t="s">
        <v>379</v>
      </c>
      <c r="C130" s="10" t="s">
        <v>444</v>
      </c>
      <c r="D130" s="11">
        <v>28</v>
      </c>
      <c r="E130" s="6">
        <v>0.5</v>
      </c>
      <c r="F130" s="6">
        <v>4.66</v>
      </c>
      <c r="G130" s="6">
        <v>4.5999999999999996</v>
      </c>
      <c r="H130" s="6">
        <v>13.4</v>
      </c>
      <c r="I130" s="6">
        <v>-1.2</v>
      </c>
      <c r="J130" s="6">
        <v>16.899999999999999</v>
      </c>
      <c r="K130" s="6">
        <v>-4</v>
      </c>
      <c r="L130" s="26">
        <v>3.41</v>
      </c>
    </row>
    <row r="131" spans="1:12" ht="15" customHeight="1" x14ac:dyDescent="0.25">
      <c r="A131" s="10" t="s">
        <v>519</v>
      </c>
      <c r="B131" s="10" t="s">
        <v>379</v>
      </c>
      <c r="C131" s="10" t="s">
        <v>444</v>
      </c>
      <c r="D131" s="11">
        <v>8</v>
      </c>
      <c r="E131" s="6"/>
      <c r="F131" s="6"/>
      <c r="G131" s="6">
        <v>4.5</v>
      </c>
      <c r="H131" s="6">
        <v>9.1300000000000008</v>
      </c>
      <c r="I131" s="6">
        <v>0.2</v>
      </c>
      <c r="J131" s="6">
        <v>60.3</v>
      </c>
      <c r="K131" s="6">
        <v>-17.5</v>
      </c>
      <c r="L131" s="26">
        <v>0.62</v>
      </c>
    </row>
    <row r="132" spans="1:12" ht="15" customHeight="1" x14ac:dyDescent="0.25">
      <c r="A132" s="10" t="s">
        <v>520</v>
      </c>
      <c r="B132" s="10" t="s">
        <v>364</v>
      </c>
      <c r="C132" s="10" t="s">
        <v>365</v>
      </c>
      <c r="D132" s="11">
        <v>47</v>
      </c>
      <c r="E132" s="6"/>
      <c r="F132" s="6">
        <v>3</v>
      </c>
      <c r="G132" s="6">
        <v>1.7</v>
      </c>
      <c r="H132" s="6">
        <v>18.600000000000001</v>
      </c>
      <c r="I132" s="6">
        <v>8.5</v>
      </c>
      <c r="J132" s="6">
        <v>83</v>
      </c>
      <c r="K132" s="6">
        <v>18.5</v>
      </c>
      <c r="L132" s="26">
        <v>7.38</v>
      </c>
    </row>
    <row r="133" spans="1:12" ht="15" customHeight="1" x14ac:dyDescent="0.25">
      <c r="A133" s="10" t="s">
        <v>521</v>
      </c>
      <c r="B133" s="10" t="s">
        <v>367</v>
      </c>
      <c r="C133" s="10" t="s">
        <v>377</v>
      </c>
      <c r="D133" s="11">
        <v>218</v>
      </c>
      <c r="E133" s="6">
        <v>0.3</v>
      </c>
      <c r="F133" s="6">
        <v>5.0999999999999996</v>
      </c>
      <c r="G133" s="6">
        <v>-0.08</v>
      </c>
      <c r="H133" s="6">
        <v>0.1</v>
      </c>
      <c r="I133" s="6">
        <v>0.7</v>
      </c>
      <c r="J133" s="6">
        <v>40.799999999999997</v>
      </c>
      <c r="K133" s="6">
        <v>17.399999999999999</v>
      </c>
      <c r="L133" s="26">
        <v>3.12</v>
      </c>
    </row>
    <row r="134" spans="1:12" ht="15" customHeight="1" x14ac:dyDescent="0.25">
      <c r="A134" s="10" t="s">
        <v>522</v>
      </c>
      <c r="B134" s="10" t="s">
        <v>367</v>
      </c>
      <c r="C134" s="10" t="s">
        <v>385</v>
      </c>
      <c r="D134" s="11">
        <v>373</v>
      </c>
      <c r="E134" s="6">
        <v>5.79</v>
      </c>
      <c r="F134" s="6">
        <v>11</v>
      </c>
      <c r="G134" s="6">
        <v>4.0999999999999996</v>
      </c>
      <c r="H134" s="6">
        <v>5.5</v>
      </c>
      <c r="I134" s="6">
        <v>-6.8</v>
      </c>
      <c r="J134" s="6">
        <v>80</v>
      </c>
      <c r="K134" s="6">
        <v>-0.5</v>
      </c>
      <c r="L134" s="26">
        <v>251.27</v>
      </c>
    </row>
    <row r="135" spans="1:12" ht="15" customHeight="1" x14ac:dyDescent="0.25">
      <c r="A135" s="10" t="s">
        <v>523</v>
      </c>
      <c r="B135" s="10" t="s">
        <v>364</v>
      </c>
      <c r="C135" s="10" t="s">
        <v>413</v>
      </c>
      <c r="D135" s="11">
        <v>25</v>
      </c>
      <c r="E135" s="6"/>
      <c r="F135" s="6">
        <v>10.25</v>
      </c>
      <c r="G135" s="6">
        <v>2.2000000000000002</v>
      </c>
      <c r="H135" s="6">
        <v>5.2</v>
      </c>
      <c r="I135" s="6">
        <v>-3</v>
      </c>
      <c r="J135" s="6">
        <v>42.4</v>
      </c>
      <c r="K135" s="6">
        <v>10.31</v>
      </c>
      <c r="L135" s="26">
        <v>13.99</v>
      </c>
    </row>
    <row r="136" spans="1:12" ht="15" customHeight="1" x14ac:dyDescent="0.25">
      <c r="A136" s="10" t="s">
        <v>524</v>
      </c>
      <c r="B136" s="10" t="s">
        <v>367</v>
      </c>
      <c r="C136" s="10" t="s">
        <v>368</v>
      </c>
      <c r="D136" s="11">
        <v>15</v>
      </c>
      <c r="E136" s="6"/>
      <c r="F136" s="6">
        <v>5.5</v>
      </c>
      <c r="G136" s="6">
        <v>-0.6</v>
      </c>
      <c r="H136" s="6">
        <v>4.7</v>
      </c>
      <c r="I136" s="6">
        <v>1.1000000000000001</v>
      </c>
      <c r="J136" s="6">
        <v>2.2999999999999998</v>
      </c>
      <c r="K136" s="6">
        <v>15.9</v>
      </c>
      <c r="L136" s="26">
        <v>0.46</v>
      </c>
    </row>
    <row r="137" spans="1:12" ht="15" customHeight="1" x14ac:dyDescent="0.25">
      <c r="A137" s="10" t="s">
        <v>525</v>
      </c>
      <c r="B137" s="10" t="s">
        <v>364</v>
      </c>
      <c r="C137" s="10" t="s">
        <v>387</v>
      </c>
      <c r="D137" s="11">
        <v>17</v>
      </c>
      <c r="E137" s="6"/>
      <c r="F137" s="6">
        <v>12</v>
      </c>
      <c r="G137" s="6">
        <v>8.1</v>
      </c>
      <c r="H137" s="6">
        <v>3</v>
      </c>
      <c r="I137" s="6">
        <v>-3.8</v>
      </c>
      <c r="J137" s="6">
        <v>38.799999999999997</v>
      </c>
      <c r="K137" s="6">
        <v>-4.5</v>
      </c>
      <c r="L137" s="26">
        <v>31.96</v>
      </c>
    </row>
    <row r="138" spans="1:12" ht="15" customHeight="1" x14ac:dyDescent="0.25">
      <c r="A138" s="10" t="s">
        <v>526</v>
      </c>
      <c r="B138" s="10" t="s">
        <v>367</v>
      </c>
      <c r="C138" s="10" t="s">
        <v>377</v>
      </c>
      <c r="D138" s="11">
        <v>74</v>
      </c>
      <c r="E138" s="6"/>
      <c r="F138" s="6">
        <v>7</v>
      </c>
      <c r="G138" s="6">
        <v>5</v>
      </c>
      <c r="H138" s="6">
        <v>5.3</v>
      </c>
      <c r="I138" s="6">
        <v>-0.4</v>
      </c>
      <c r="J138" s="6">
        <v>20.9</v>
      </c>
      <c r="K138" s="6">
        <v>6.3</v>
      </c>
      <c r="L138" s="26">
        <v>10.18</v>
      </c>
    </row>
    <row r="139" spans="1:12" ht="15" customHeight="1" x14ac:dyDescent="0.25">
      <c r="A139" s="10" t="s">
        <v>527</v>
      </c>
      <c r="B139" s="10" t="s">
        <v>367</v>
      </c>
      <c r="C139" s="10" t="s">
        <v>377</v>
      </c>
      <c r="D139" s="11">
        <v>14</v>
      </c>
      <c r="E139" s="6"/>
      <c r="F139" s="6"/>
      <c r="G139" s="6">
        <v>59.35</v>
      </c>
      <c r="H139" s="6">
        <v>28.6</v>
      </c>
      <c r="I139" s="6">
        <v>0.5</v>
      </c>
      <c r="J139" s="6">
        <v>30.7</v>
      </c>
      <c r="K139" s="6">
        <v>-21.1</v>
      </c>
      <c r="L139" s="26">
        <v>5.61</v>
      </c>
    </row>
    <row r="140" spans="1:12" ht="15" customHeight="1" x14ac:dyDescent="0.25">
      <c r="A140" s="10" t="s">
        <v>528</v>
      </c>
      <c r="B140" s="10" t="s">
        <v>364</v>
      </c>
      <c r="C140" s="10" t="s">
        <v>389</v>
      </c>
      <c r="D140" s="11">
        <v>3</v>
      </c>
      <c r="E140" s="6"/>
      <c r="F140" s="6">
        <v>4.5</v>
      </c>
      <c r="G140" s="6">
        <v>4.0999999999999996</v>
      </c>
      <c r="H140" s="6">
        <v>6.3</v>
      </c>
      <c r="I140" s="6">
        <v>-4.9000000000000004</v>
      </c>
      <c r="J140" s="6">
        <v>60.7</v>
      </c>
      <c r="K140" s="6">
        <v>-8</v>
      </c>
      <c r="L140" s="26">
        <v>5.33</v>
      </c>
    </row>
    <row r="141" spans="1:12" ht="15" customHeight="1" x14ac:dyDescent="0.25">
      <c r="A141" s="10" t="s">
        <v>529</v>
      </c>
      <c r="B141" s="10" t="s">
        <v>367</v>
      </c>
      <c r="C141" s="10" t="s">
        <v>377</v>
      </c>
      <c r="D141" s="11">
        <v>48</v>
      </c>
      <c r="E141" s="6">
        <v>-7.57</v>
      </c>
      <c r="F141" s="6">
        <v>5.25</v>
      </c>
      <c r="G141" s="6">
        <v>-0.4</v>
      </c>
      <c r="H141" s="6">
        <v>6.3</v>
      </c>
      <c r="I141" s="6">
        <v>-5.6</v>
      </c>
      <c r="J141" s="6">
        <v>134</v>
      </c>
      <c r="K141" s="6">
        <v>5.3</v>
      </c>
      <c r="L141" s="26">
        <v>1.59</v>
      </c>
    </row>
    <row r="142" spans="1:12" ht="15" customHeight="1" x14ac:dyDescent="0.25">
      <c r="A142" s="10" t="s">
        <v>530</v>
      </c>
      <c r="B142" s="10" t="s">
        <v>379</v>
      </c>
      <c r="C142" s="10" t="s">
        <v>383</v>
      </c>
      <c r="D142" s="11">
        <v>522</v>
      </c>
      <c r="E142" s="6">
        <v>0.1</v>
      </c>
      <c r="F142" s="6">
        <v>2.15</v>
      </c>
      <c r="G142" s="6">
        <v>3.6</v>
      </c>
      <c r="H142" s="6">
        <v>6.7</v>
      </c>
      <c r="I142" s="6">
        <v>-4.7</v>
      </c>
      <c r="J142" s="6">
        <v>81.8</v>
      </c>
      <c r="K142" s="6">
        <v>2.4</v>
      </c>
      <c r="L142" s="26">
        <v>9.1999999999999993</v>
      </c>
    </row>
    <row r="143" spans="1:12" ht="15" customHeight="1" x14ac:dyDescent="0.25">
      <c r="A143" s="10" t="s">
        <v>531</v>
      </c>
      <c r="B143" s="10" t="s">
        <v>379</v>
      </c>
      <c r="C143" s="10" t="s">
        <v>403</v>
      </c>
      <c r="D143" s="11">
        <v>3162</v>
      </c>
      <c r="E143" s="6">
        <v>0.3</v>
      </c>
      <c r="F143" s="6">
        <v>2.15</v>
      </c>
      <c r="G143" s="6">
        <v>1</v>
      </c>
      <c r="H143" s="6">
        <v>7.5</v>
      </c>
      <c r="I143" s="6">
        <v>-5.8</v>
      </c>
      <c r="J143" s="6">
        <v>113</v>
      </c>
      <c r="K143" s="6">
        <v>0.4</v>
      </c>
      <c r="L143" s="26">
        <v>68.44</v>
      </c>
    </row>
    <row r="144" spans="1:12" ht="15" customHeight="1" x14ac:dyDescent="0.25">
      <c r="A144" s="10" t="s">
        <v>532</v>
      </c>
      <c r="B144" s="10" t="s">
        <v>370</v>
      </c>
      <c r="C144" s="10" t="s">
        <v>416</v>
      </c>
      <c r="D144" s="11">
        <v>35</v>
      </c>
      <c r="E144" s="6">
        <v>-0.57999999999999996</v>
      </c>
      <c r="F144" s="6">
        <v>5.38</v>
      </c>
      <c r="G144" s="6">
        <v>-0.14000000000000001</v>
      </c>
      <c r="H144" s="6">
        <v>5.2</v>
      </c>
      <c r="I144" s="6">
        <v>-3.3</v>
      </c>
      <c r="J144" s="6">
        <v>61.13</v>
      </c>
      <c r="K144" s="6">
        <v>-1.8</v>
      </c>
      <c r="L144" s="26">
        <v>6.31</v>
      </c>
    </row>
    <row r="145" spans="1:12" ht="15" customHeight="1" x14ac:dyDescent="0.25">
      <c r="A145" s="10" t="s">
        <v>533</v>
      </c>
      <c r="B145" s="10" t="s">
        <v>364</v>
      </c>
      <c r="C145" s="10" t="s">
        <v>401</v>
      </c>
      <c r="D145" s="11">
        <v>13</v>
      </c>
      <c r="E145" s="6">
        <v>-3.19</v>
      </c>
      <c r="F145" s="6">
        <v>6.75</v>
      </c>
      <c r="G145" s="6">
        <v>3.5</v>
      </c>
      <c r="H145" s="6">
        <v>19.100000000000001</v>
      </c>
      <c r="I145" s="6">
        <v>-3.9</v>
      </c>
      <c r="J145" s="6">
        <v>65.3</v>
      </c>
      <c r="K145" s="6">
        <v>-15.3</v>
      </c>
      <c r="L145" s="26">
        <v>2.69</v>
      </c>
    </row>
    <row r="146" spans="1:12" ht="15" customHeight="1" x14ac:dyDescent="0.25">
      <c r="A146" s="10" t="s">
        <v>534</v>
      </c>
      <c r="B146" s="10" t="s">
        <v>433</v>
      </c>
      <c r="C146" s="10" t="s">
        <v>434</v>
      </c>
      <c r="D146" s="11">
        <v>1752</v>
      </c>
      <c r="E146" s="6">
        <v>0.2</v>
      </c>
      <c r="F146" s="6">
        <v>3.6</v>
      </c>
      <c r="G146" s="6">
        <v>2.1</v>
      </c>
      <c r="H146" s="6">
        <v>4.2</v>
      </c>
      <c r="I146" s="6">
        <v>0.6</v>
      </c>
      <c r="J146" s="6">
        <v>43.8</v>
      </c>
      <c r="K146" s="6">
        <v>-2.1</v>
      </c>
      <c r="L146" s="26">
        <v>27.4</v>
      </c>
    </row>
    <row r="147" spans="1:12" ht="15" customHeight="1" x14ac:dyDescent="0.25">
      <c r="A147" s="10" t="s">
        <v>535</v>
      </c>
      <c r="B147" s="10" t="s">
        <v>364</v>
      </c>
      <c r="C147" s="10" t="s">
        <v>365</v>
      </c>
      <c r="D147" s="11">
        <v>154</v>
      </c>
      <c r="E147" s="6">
        <v>1.1000000000000001</v>
      </c>
      <c r="F147" s="6">
        <v>2.25</v>
      </c>
      <c r="G147" s="6">
        <v>0.5</v>
      </c>
      <c r="H147" s="6">
        <v>12.8</v>
      </c>
      <c r="I147" s="6">
        <v>-3.9</v>
      </c>
      <c r="J147" s="6">
        <v>70</v>
      </c>
      <c r="K147" s="6">
        <v>-2.8</v>
      </c>
      <c r="L147" s="26">
        <v>37.369999999999997</v>
      </c>
    </row>
    <row r="148" spans="1:12" ht="15" customHeight="1" x14ac:dyDescent="0.25">
      <c r="A148" s="10" t="s">
        <v>536</v>
      </c>
      <c r="B148" s="10" t="s">
        <v>379</v>
      </c>
      <c r="C148" s="10" t="s">
        <v>380</v>
      </c>
      <c r="D148" s="11">
        <v>577</v>
      </c>
      <c r="E148" s="6">
        <v>-1</v>
      </c>
      <c r="F148" s="6">
        <v>2.15</v>
      </c>
      <c r="G148" s="6">
        <v>1.7</v>
      </c>
      <c r="H148" s="6">
        <v>4.9000000000000004</v>
      </c>
      <c r="I148" s="6">
        <v>4.3</v>
      </c>
      <c r="J148" s="6">
        <v>40.9</v>
      </c>
      <c r="K148" s="6">
        <v>17.2</v>
      </c>
      <c r="L148" s="26">
        <v>5.44</v>
      </c>
    </row>
    <row r="149" spans="1:12" ht="15" customHeight="1" x14ac:dyDescent="0.25">
      <c r="A149" s="10" t="s">
        <v>537</v>
      </c>
      <c r="B149" s="10" t="s">
        <v>370</v>
      </c>
      <c r="C149" s="10" t="s">
        <v>416</v>
      </c>
      <c r="D149" s="11">
        <v>20</v>
      </c>
      <c r="E149" s="6"/>
      <c r="F149" s="6">
        <v>6.25</v>
      </c>
      <c r="G149" s="6">
        <v>0.64</v>
      </c>
      <c r="H149" s="6">
        <v>2.8</v>
      </c>
      <c r="I149" s="6">
        <v>0.3</v>
      </c>
      <c r="J149" s="6">
        <v>39.1</v>
      </c>
      <c r="K149" s="6">
        <v>4.2</v>
      </c>
      <c r="L149" s="26">
        <v>6.87</v>
      </c>
    </row>
    <row r="150" spans="1:12" ht="15" customHeight="1" x14ac:dyDescent="0.25">
      <c r="A150" s="10" t="s">
        <v>538</v>
      </c>
      <c r="B150" s="10" t="s">
        <v>370</v>
      </c>
      <c r="C150" s="10" t="s">
        <v>373</v>
      </c>
      <c r="D150" s="11">
        <v>16</v>
      </c>
      <c r="E150" s="6"/>
      <c r="F150" s="6">
        <v>4</v>
      </c>
      <c r="G150" s="6">
        <v>-0.4</v>
      </c>
      <c r="H150" s="6">
        <v>9.4</v>
      </c>
      <c r="I150" s="6">
        <v>-1.3</v>
      </c>
      <c r="J150" s="6">
        <v>81.5</v>
      </c>
      <c r="K150" s="6">
        <v>-7.9</v>
      </c>
      <c r="L150" s="26">
        <v>0.41</v>
      </c>
    </row>
    <row r="151" spans="1:12" ht="15" customHeight="1" x14ac:dyDescent="0.25">
      <c r="A151" s="10" t="s">
        <v>539</v>
      </c>
      <c r="B151" s="10" t="s">
        <v>367</v>
      </c>
      <c r="C151" s="10" t="s">
        <v>377</v>
      </c>
      <c r="D151" s="11">
        <v>107</v>
      </c>
      <c r="E151" s="6"/>
      <c r="F151" s="6">
        <v>5</v>
      </c>
      <c r="G151" s="6">
        <v>0.8</v>
      </c>
      <c r="H151" s="6">
        <v>3.2</v>
      </c>
      <c r="I151" s="6">
        <v>2.2000000000000002</v>
      </c>
      <c r="J151" s="6">
        <v>36.5</v>
      </c>
      <c r="K151" s="6">
        <v>5</v>
      </c>
      <c r="L151" s="26">
        <v>5.27</v>
      </c>
    </row>
    <row r="152" spans="1:12" ht="15" customHeight="1" x14ac:dyDescent="0.25">
      <c r="A152" s="10" t="s">
        <v>540</v>
      </c>
      <c r="B152" s="10" t="s">
        <v>379</v>
      </c>
      <c r="C152" s="10" t="s">
        <v>403</v>
      </c>
      <c r="D152" s="11">
        <v>937</v>
      </c>
      <c r="E152" s="6">
        <v>0.1</v>
      </c>
      <c r="F152" s="6">
        <v>0</v>
      </c>
      <c r="G152" s="6">
        <v>0.2</v>
      </c>
      <c r="H152" s="6">
        <v>2.7</v>
      </c>
      <c r="I152" s="6">
        <v>0.6</v>
      </c>
      <c r="J152" s="6">
        <v>37.6</v>
      </c>
      <c r="K152" s="6">
        <v>5.0999999999999996</v>
      </c>
      <c r="L152" s="26">
        <v>9.0500000000000007</v>
      </c>
    </row>
    <row r="153" spans="1:12" ht="15" customHeight="1" x14ac:dyDescent="0.25">
      <c r="A153" s="10" t="s">
        <v>541</v>
      </c>
      <c r="B153" s="10" t="s">
        <v>379</v>
      </c>
      <c r="C153" s="10" t="s">
        <v>380</v>
      </c>
      <c r="D153" s="11">
        <v>33</v>
      </c>
      <c r="E153" s="6">
        <v>2.7</v>
      </c>
      <c r="F153" s="6">
        <v>7.5</v>
      </c>
      <c r="G153" s="6">
        <v>4</v>
      </c>
      <c r="H153" s="6">
        <v>2.8</v>
      </c>
      <c r="I153" s="6">
        <v>-3.4</v>
      </c>
      <c r="J153" s="6">
        <v>59.3</v>
      </c>
      <c r="K153" s="6">
        <v>-2.7</v>
      </c>
      <c r="L153" s="26">
        <v>0.39</v>
      </c>
    </row>
    <row r="154" spans="1:12" ht="15" customHeight="1" x14ac:dyDescent="0.25">
      <c r="A154" s="10" t="s">
        <v>542</v>
      </c>
      <c r="B154" s="10" t="s">
        <v>367</v>
      </c>
      <c r="C154" s="10" t="s">
        <v>430</v>
      </c>
      <c r="D154" s="11">
        <v>4026</v>
      </c>
      <c r="E154" s="6">
        <v>0.3</v>
      </c>
      <c r="F154" s="6">
        <v>0.5</v>
      </c>
      <c r="G154" s="6">
        <v>3.1</v>
      </c>
      <c r="H154" s="6">
        <v>2.5</v>
      </c>
      <c r="I154" s="6">
        <v>-2.2999999999999998</v>
      </c>
      <c r="J154" s="6">
        <v>236.7</v>
      </c>
      <c r="K154" s="6">
        <v>4.7</v>
      </c>
      <c r="L154" s="26">
        <v>120.65</v>
      </c>
    </row>
    <row r="155" spans="1:12" ht="15" customHeight="1" x14ac:dyDescent="0.25">
      <c r="A155" s="10" t="s">
        <v>543</v>
      </c>
      <c r="B155" s="10" t="s">
        <v>379</v>
      </c>
      <c r="C155" s="10" t="s">
        <v>403</v>
      </c>
      <c r="D155" s="11">
        <v>1228</v>
      </c>
      <c r="E155" s="6">
        <v>0.1</v>
      </c>
      <c r="F155" s="6">
        <v>2.15</v>
      </c>
      <c r="G155" s="6">
        <v>2.9</v>
      </c>
      <c r="H155" s="6">
        <v>3.8</v>
      </c>
      <c r="I155" s="6">
        <v>-1.1000000000000001</v>
      </c>
      <c r="J155" s="6">
        <v>43.7</v>
      </c>
      <c r="K155" s="6">
        <v>9.1</v>
      </c>
      <c r="L155" s="26">
        <v>18.04</v>
      </c>
    </row>
    <row r="156" spans="1:12" ht="15" customHeight="1" x14ac:dyDescent="0.25">
      <c r="A156" s="10" t="s">
        <v>544</v>
      </c>
      <c r="B156" s="10" t="s">
        <v>379</v>
      </c>
      <c r="C156" s="10" t="s">
        <v>394</v>
      </c>
      <c r="D156" s="11">
        <v>76</v>
      </c>
      <c r="E156" s="6"/>
      <c r="F156" s="6">
        <v>9.75</v>
      </c>
      <c r="G156" s="6">
        <v>7.4</v>
      </c>
      <c r="H156" s="6">
        <v>3</v>
      </c>
      <c r="I156" s="6">
        <v>-0.3</v>
      </c>
      <c r="J156" s="6">
        <v>24</v>
      </c>
      <c r="K156" s="6">
        <v>-2.5</v>
      </c>
      <c r="L156" s="26">
        <v>9.11</v>
      </c>
    </row>
    <row r="157" spans="1:12" ht="15" customHeight="1" x14ac:dyDescent="0.25">
      <c r="A157" s="10" t="s">
        <v>545</v>
      </c>
      <c r="B157" s="10" t="s">
        <v>364</v>
      </c>
      <c r="C157" s="10" t="s">
        <v>387</v>
      </c>
      <c r="D157" s="11">
        <v>54</v>
      </c>
      <c r="E157" s="6">
        <v>3.7</v>
      </c>
      <c r="F157" s="6">
        <v>9.75</v>
      </c>
      <c r="G157" s="6">
        <v>3.8</v>
      </c>
      <c r="H157" s="6">
        <v>2.9</v>
      </c>
      <c r="I157" s="6">
        <v>-4.7</v>
      </c>
      <c r="J157" s="6">
        <v>51.8</v>
      </c>
      <c r="K157" s="6">
        <v>-9.2100000000000009</v>
      </c>
      <c r="L157" s="26">
        <v>50.02</v>
      </c>
    </row>
    <row r="158" spans="1:12" ht="15" customHeight="1" x14ac:dyDescent="0.25">
      <c r="A158" s="10" t="s">
        <v>546</v>
      </c>
      <c r="B158" s="10" t="s">
        <v>367</v>
      </c>
      <c r="C158" s="10" t="s">
        <v>377</v>
      </c>
      <c r="D158" s="11">
        <v>19</v>
      </c>
      <c r="E158" s="6"/>
      <c r="F158" s="6">
        <v>27</v>
      </c>
      <c r="G158" s="6">
        <v>0.77</v>
      </c>
      <c r="H158" s="6">
        <v>17.100000000000001</v>
      </c>
      <c r="I158" s="6">
        <v>-5.2</v>
      </c>
      <c r="J158" s="6">
        <v>70.900000000000006</v>
      </c>
      <c r="K158" s="6">
        <v>-5.9</v>
      </c>
      <c r="L158" s="26">
        <v>40.58</v>
      </c>
    </row>
    <row r="159" spans="1:12" ht="15" customHeight="1" x14ac:dyDescent="0.25">
      <c r="A159" s="10" t="s">
        <v>547</v>
      </c>
      <c r="B159" s="10" t="s">
        <v>370</v>
      </c>
      <c r="C159" s="10" t="s">
        <v>373</v>
      </c>
      <c r="D159" s="11">
        <v>25</v>
      </c>
      <c r="E159" s="6"/>
      <c r="F159" s="6">
        <v>17</v>
      </c>
      <c r="G159" s="6">
        <v>29.6</v>
      </c>
      <c r="H159" s="6">
        <v>15.1</v>
      </c>
      <c r="I159" s="6">
        <v>7.1</v>
      </c>
      <c r="J159" s="6">
        <v>14</v>
      </c>
      <c r="K159" s="6">
        <v>-0.4</v>
      </c>
      <c r="L159" s="26">
        <v>11.9</v>
      </c>
    </row>
    <row r="160" spans="1:12" ht="15" customHeight="1" x14ac:dyDescent="0.25">
      <c r="A160" s="10" t="s">
        <v>548</v>
      </c>
      <c r="B160" s="10" t="s">
        <v>370</v>
      </c>
      <c r="C160" s="10" t="s">
        <v>371</v>
      </c>
      <c r="D160" s="11">
        <v>633</v>
      </c>
      <c r="E160" s="6">
        <v>0.8</v>
      </c>
      <c r="F160" s="6">
        <v>29</v>
      </c>
      <c r="G160" s="6">
        <v>36.6</v>
      </c>
      <c r="H160" s="6">
        <v>7.9</v>
      </c>
      <c r="I160" s="6">
        <v>-4.37</v>
      </c>
      <c r="J160" s="6">
        <v>83.2</v>
      </c>
      <c r="K160" s="6">
        <v>0.6</v>
      </c>
      <c r="L160" s="26">
        <v>47.07</v>
      </c>
    </row>
    <row r="161" spans="1:12" ht="15" customHeight="1" x14ac:dyDescent="0.25">
      <c r="A161" s="10" t="s">
        <v>549</v>
      </c>
      <c r="B161" s="10" t="s">
        <v>364</v>
      </c>
      <c r="C161" s="10" t="s">
        <v>365</v>
      </c>
      <c r="D161" s="11">
        <v>389</v>
      </c>
      <c r="E161" s="6">
        <v>9.8000000000000007</v>
      </c>
      <c r="F161" s="6">
        <v>24</v>
      </c>
      <c r="G161" s="6">
        <v>13.9</v>
      </c>
      <c r="H161" s="6">
        <v>6.1</v>
      </c>
      <c r="I161" s="6">
        <v>-7.1</v>
      </c>
      <c r="J161" s="6">
        <v>82.9</v>
      </c>
      <c r="K161" s="6">
        <v>-5.3</v>
      </c>
      <c r="L161" s="26">
        <v>107.2</v>
      </c>
    </row>
    <row r="162" spans="1:12" ht="15" customHeight="1" x14ac:dyDescent="0.25">
      <c r="A162" s="10" t="s">
        <v>550</v>
      </c>
      <c r="B162" s="10" t="s">
        <v>367</v>
      </c>
      <c r="C162" s="10" t="s">
        <v>377</v>
      </c>
      <c r="D162" s="11">
        <v>160</v>
      </c>
      <c r="E162" s="6">
        <v>4.7</v>
      </c>
      <c r="F162" s="6">
        <v>4</v>
      </c>
      <c r="G162" s="6">
        <v>2.39</v>
      </c>
      <c r="H162" s="6">
        <v>2.1</v>
      </c>
      <c r="I162" s="6">
        <v>21.6</v>
      </c>
      <c r="J162" s="6">
        <v>3</v>
      </c>
      <c r="K162" s="6">
        <v>28.2</v>
      </c>
      <c r="L162" s="26">
        <v>4.79</v>
      </c>
    </row>
    <row r="163" spans="1:12" ht="15" customHeight="1" x14ac:dyDescent="0.25">
      <c r="A163" s="10" t="s">
        <v>551</v>
      </c>
      <c r="B163" s="10" t="s">
        <v>370</v>
      </c>
      <c r="C163" s="10" t="s">
        <v>373</v>
      </c>
      <c r="D163" s="11">
        <v>7</v>
      </c>
      <c r="E163" s="6"/>
      <c r="F163" s="6"/>
      <c r="G163" s="6">
        <v>1.8</v>
      </c>
      <c r="H163" s="6">
        <v>2.8</v>
      </c>
      <c r="I163" s="6">
        <v>-1.1000000000000001</v>
      </c>
      <c r="J163" s="6">
        <v>7.6</v>
      </c>
      <c r="K163" s="6">
        <v>-7.7</v>
      </c>
      <c r="L163" s="26">
        <v>0.09</v>
      </c>
    </row>
    <row r="164" spans="1:12" ht="15" customHeight="1" x14ac:dyDescent="0.25">
      <c r="A164" s="10" t="s">
        <v>552</v>
      </c>
      <c r="B164" s="10" t="s">
        <v>364</v>
      </c>
      <c r="C164" s="10" t="s">
        <v>389</v>
      </c>
      <c r="D164" s="11">
        <v>21</v>
      </c>
      <c r="E164" s="6"/>
      <c r="F164" s="6">
        <v>4.5</v>
      </c>
      <c r="G164" s="6">
        <v>0.7</v>
      </c>
      <c r="H164" s="6">
        <v>20.100000000000001</v>
      </c>
      <c r="I164" s="6">
        <v>-3</v>
      </c>
      <c r="J164" s="6">
        <v>73.400000000000006</v>
      </c>
      <c r="K164" s="6">
        <v>5.0999999999999996</v>
      </c>
      <c r="L164" s="26">
        <v>2.54</v>
      </c>
    </row>
    <row r="165" spans="1:12" ht="15" customHeight="1" x14ac:dyDescent="0.25">
      <c r="A165" s="10" t="s">
        <v>553</v>
      </c>
      <c r="B165" s="10" t="s">
        <v>367</v>
      </c>
      <c r="C165" s="10" t="s">
        <v>385</v>
      </c>
      <c r="D165" s="11">
        <v>99</v>
      </c>
      <c r="E165" s="6">
        <v>1.4</v>
      </c>
      <c r="F165" s="6">
        <v>7.75</v>
      </c>
      <c r="G165" s="6">
        <v>-0.3</v>
      </c>
      <c r="H165" s="6">
        <v>3.8</v>
      </c>
      <c r="I165" s="6">
        <v>-6.8</v>
      </c>
      <c r="J165" s="6">
        <v>96.1</v>
      </c>
      <c r="K165" s="6">
        <v>1.2</v>
      </c>
      <c r="L165" s="26">
        <v>23.1</v>
      </c>
    </row>
    <row r="166" spans="1:12" ht="15" customHeight="1" x14ac:dyDescent="0.25">
      <c r="A166" s="10" t="s">
        <v>554</v>
      </c>
      <c r="B166" s="10" t="s">
        <v>370</v>
      </c>
      <c r="C166" s="10" t="s">
        <v>373</v>
      </c>
      <c r="D166" s="11">
        <v>26</v>
      </c>
      <c r="E166" s="6">
        <v>2.6</v>
      </c>
      <c r="F166" s="6">
        <v>3.5</v>
      </c>
      <c r="G166" s="6">
        <v>1.5</v>
      </c>
      <c r="H166" s="6">
        <v>4.9000000000000004</v>
      </c>
      <c r="I166" s="6">
        <v>-6.7</v>
      </c>
      <c r="J166" s="6">
        <v>56.1</v>
      </c>
      <c r="K166" s="6">
        <v>6.6</v>
      </c>
      <c r="L166" s="26">
        <v>1.37</v>
      </c>
    </row>
    <row r="167" spans="1:12" ht="15" customHeight="1" x14ac:dyDescent="0.25">
      <c r="A167" s="10" t="s">
        <v>555</v>
      </c>
      <c r="B167" s="10" t="s">
        <v>370</v>
      </c>
      <c r="C167" s="10" t="s">
        <v>371</v>
      </c>
      <c r="D167" s="11">
        <v>419</v>
      </c>
      <c r="E167" s="6">
        <v>0.5</v>
      </c>
      <c r="F167" s="6">
        <v>9.25</v>
      </c>
      <c r="G167" s="6">
        <v>4.9000000000000004</v>
      </c>
      <c r="H167" s="6">
        <v>8.6</v>
      </c>
      <c r="I167" s="6">
        <v>-5.8</v>
      </c>
      <c r="J167" s="6">
        <v>61.3</v>
      </c>
      <c r="K167" s="6">
        <v>-1.8</v>
      </c>
      <c r="L167" s="26">
        <v>52.97</v>
      </c>
    </row>
    <row r="168" spans="1:12" ht="15" customHeight="1" x14ac:dyDescent="0.25">
      <c r="A168" s="10" t="s">
        <v>556</v>
      </c>
      <c r="B168" s="10" t="s">
        <v>367</v>
      </c>
      <c r="C168" s="10" t="s">
        <v>430</v>
      </c>
      <c r="D168" s="11">
        <v>50</v>
      </c>
      <c r="E168" s="6"/>
      <c r="F168" s="6">
        <v>4.75</v>
      </c>
      <c r="G168" s="6">
        <v>0.12</v>
      </c>
      <c r="H168" s="6">
        <v>1.9</v>
      </c>
      <c r="I168" s="6"/>
      <c r="J168" s="6"/>
      <c r="K168" s="6">
        <v>31.4</v>
      </c>
      <c r="L168" s="26">
        <v>0.69</v>
      </c>
    </row>
    <row r="169" spans="1:12" ht="15" customHeight="1" x14ac:dyDescent="0.25">
      <c r="A169" s="10" t="s">
        <v>557</v>
      </c>
      <c r="B169" s="10" t="s">
        <v>370</v>
      </c>
      <c r="C169" s="10" t="s">
        <v>375</v>
      </c>
      <c r="D169" s="11">
        <v>1853</v>
      </c>
      <c r="E169" s="6">
        <v>0.6</v>
      </c>
      <c r="F169" s="6">
        <v>7.75</v>
      </c>
      <c r="G169" s="6">
        <v>3.51</v>
      </c>
      <c r="H169" s="6">
        <v>2.7</v>
      </c>
      <c r="I169" s="6">
        <v>-5.7</v>
      </c>
      <c r="J169" s="6">
        <v>49.7</v>
      </c>
      <c r="K169" s="6">
        <v>-0.8</v>
      </c>
      <c r="L169" s="26">
        <v>130.86000000000001</v>
      </c>
    </row>
    <row r="170" spans="1:12" ht="15" customHeight="1" x14ac:dyDescent="0.25">
      <c r="A170" s="10" t="s">
        <v>558</v>
      </c>
      <c r="B170" s="10" t="s">
        <v>433</v>
      </c>
      <c r="C170" s="10" t="s">
        <v>517</v>
      </c>
      <c r="D170" s="11">
        <v>10</v>
      </c>
      <c r="E170" s="6"/>
      <c r="F170" s="6">
        <v>2</v>
      </c>
      <c r="G170" s="6">
        <v>0.8</v>
      </c>
      <c r="H170" s="6">
        <v>11.2</v>
      </c>
      <c r="I170" s="6"/>
      <c r="J170" s="6"/>
      <c r="K170" s="6"/>
      <c r="L170" s="26">
        <v>0.28999999999999998</v>
      </c>
    </row>
    <row r="171" spans="1:12" ht="15" customHeight="1" x14ac:dyDescent="0.25">
      <c r="A171" s="10" t="s">
        <v>559</v>
      </c>
      <c r="B171" s="10" t="s">
        <v>379</v>
      </c>
      <c r="C171" s="10" t="s">
        <v>444</v>
      </c>
      <c r="D171" s="11">
        <v>11</v>
      </c>
      <c r="E171" s="6"/>
      <c r="F171" s="6"/>
      <c r="G171" s="6">
        <v>4.3</v>
      </c>
      <c r="H171" s="6">
        <v>10.8</v>
      </c>
      <c r="I171" s="6">
        <v>0.2</v>
      </c>
      <c r="J171" s="6">
        <v>16.899999999999999</v>
      </c>
      <c r="K171" s="6">
        <v>-9</v>
      </c>
      <c r="L171" s="26">
        <v>1.6</v>
      </c>
    </row>
    <row r="172" spans="1:12" ht="15" customHeight="1" x14ac:dyDescent="0.25">
      <c r="A172" s="10" t="s">
        <v>560</v>
      </c>
      <c r="B172" s="10" t="s">
        <v>367</v>
      </c>
      <c r="C172" s="10" t="s">
        <v>368</v>
      </c>
      <c r="D172" s="11">
        <v>422</v>
      </c>
      <c r="E172" s="6">
        <v>2.1</v>
      </c>
      <c r="F172" s="6">
        <v>2.75</v>
      </c>
      <c r="G172" s="6">
        <v>1.2</v>
      </c>
      <c r="H172" s="6">
        <v>3</v>
      </c>
      <c r="I172" s="6">
        <v>-4.0999999999999996</v>
      </c>
      <c r="J172" s="6">
        <v>70.400000000000006</v>
      </c>
      <c r="K172" s="6">
        <v>1.7</v>
      </c>
      <c r="L172" s="26">
        <v>34.1</v>
      </c>
    </row>
    <row r="173" spans="1:12" ht="15" customHeight="1" x14ac:dyDescent="0.25">
      <c r="A173" s="10" t="s">
        <v>561</v>
      </c>
      <c r="B173" s="10" t="s">
        <v>433</v>
      </c>
      <c r="C173" s="10" t="s">
        <v>517</v>
      </c>
      <c r="D173" s="11">
        <v>6</v>
      </c>
      <c r="E173" s="6"/>
      <c r="F173" s="6">
        <v>0.25</v>
      </c>
      <c r="G173" s="6">
        <v>-0.4</v>
      </c>
      <c r="H173" s="6">
        <v>4.3</v>
      </c>
      <c r="I173" s="6">
        <v>-3.4</v>
      </c>
      <c r="J173" s="6">
        <v>78.3</v>
      </c>
      <c r="K173" s="6">
        <v>-8.6999999999999993</v>
      </c>
      <c r="L173" s="26">
        <v>0.93</v>
      </c>
    </row>
    <row r="174" spans="1:12" ht="15" customHeight="1" x14ac:dyDescent="0.25">
      <c r="A174" s="10" t="s">
        <v>562</v>
      </c>
      <c r="B174" s="10" t="s">
        <v>370</v>
      </c>
      <c r="C174" s="10" t="s">
        <v>373</v>
      </c>
      <c r="D174" s="11">
        <v>20</v>
      </c>
      <c r="E174" s="6">
        <v>0.8</v>
      </c>
      <c r="F174" s="6">
        <v>5.75</v>
      </c>
      <c r="G174" s="6">
        <v>3.3</v>
      </c>
      <c r="H174" s="6">
        <v>3.3</v>
      </c>
      <c r="I174" s="6">
        <v>-1</v>
      </c>
      <c r="J174" s="6">
        <v>67.900000000000006</v>
      </c>
      <c r="K174" s="6">
        <v>1.3</v>
      </c>
      <c r="L174" s="26">
        <v>2.82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4" width="13" customWidth="1"/>
    <col min="5" max="5" width="14" customWidth="1"/>
    <col min="6" max="6" width="17" customWidth="1"/>
    <col min="7" max="8" width="13" customWidth="1"/>
  </cols>
  <sheetData>
    <row r="1" spans="1:8" ht="17.45" customHeight="1" x14ac:dyDescent="0.25">
      <c r="A1" s="29" t="s">
        <v>563</v>
      </c>
      <c r="B1" s="27"/>
      <c r="C1" s="27"/>
      <c r="D1" s="27"/>
      <c r="E1" s="27"/>
      <c r="F1" s="27"/>
      <c r="G1" s="27"/>
      <c r="H1" s="27"/>
    </row>
    <row r="3" spans="1:8" ht="15" customHeight="1" x14ac:dyDescent="0.25">
      <c r="A3" s="28" t="s">
        <v>564</v>
      </c>
      <c r="B3" s="27"/>
      <c r="C3" s="27"/>
      <c r="D3" s="27"/>
      <c r="E3" s="27"/>
      <c r="F3" s="27"/>
      <c r="G3" s="27"/>
      <c r="H3" s="27"/>
    </row>
    <row r="5" spans="1:8" ht="15" customHeight="1" x14ac:dyDescent="0.25">
      <c r="A5" s="12"/>
      <c r="B5" s="1" t="s">
        <v>565</v>
      </c>
      <c r="C5" s="1" t="s">
        <v>566</v>
      </c>
      <c r="D5" s="1" t="s">
        <v>567</v>
      </c>
      <c r="E5" s="1" t="s">
        <v>568</v>
      </c>
      <c r="F5" s="1" t="s">
        <v>569</v>
      </c>
      <c r="G5" s="1" t="s">
        <v>570</v>
      </c>
      <c r="H5" s="1" t="s">
        <v>571</v>
      </c>
    </row>
    <row r="6" spans="1:8" ht="15" customHeight="1" x14ac:dyDescent="0.25">
      <c r="A6" s="13" t="s">
        <v>565</v>
      </c>
      <c r="B6" s="14">
        <v>1</v>
      </c>
      <c r="C6" s="14">
        <v>0.65</v>
      </c>
      <c r="D6" s="14">
        <v>0.113</v>
      </c>
      <c r="E6" s="14">
        <v>0.34100000000000003</v>
      </c>
      <c r="F6" s="14">
        <v>-0.115</v>
      </c>
      <c r="G6" s="14">
        <v>0.221</v>
      </c>
      <c r="H6" s="14">
        <v>0.58599999999999997</v>
      </c>
    </row>
    <row r="7" spans="1:8" ht="15" customHeight="1" x14ac:dyDescent="0.25">
      <c r="A7" s="13" t="s">
        <v>566</v>
      </c>
      <c r="B7" s="14">
        <v>0.65</v>
      </c>
      <c r="C7" s="14">
        <v>1</v>
      </c>
      <c r="D7" s="14">
        <v>0.22500000000000001</v>
      </c>
      <c r="E7" s="14">
        <v>0.08</v>
      </c>
      <c r="F7" s="14">
        <v>8.5999999999999993E-2</v>
      </c>
      <c r="G7" s="14">
        <v>0.439</v>
      </c>
      <c r="H7" s="14">
        <v>0.41299999999999998</v>
      </c>
    </row>
    <row r="8" spans="1:8" ht="15" customHeight="1" x14ac:dyDescent="0.25">
      <c r="A8" s="13" t="s">
        <v>567</v>
      </c>
      <c r="B8" s="14">
        <v>0.113</v>
      </c>
      <c r="C8" s="14">
        <v>0.22500000000000001</v>
      </c>
      <c r="D8" s="14">
        <v>1</v>
      </c>
      <c r="E8" s="14">
        <v>-0.34</v>
      </c>
      <c r="F8" s="14">
        <v>-0.77900000000000003</v>
      </c>
      <c r="G8" s="14">
        <v>0.45500000000000002</v>
      </c>
      <c r="H8" s="14">
        <v>0.151</v>
      </c>
    </row>
    <row r="9" spans="1:8" ht="15" customHeight="1" x14ac:dyDescent="0.25">
      <c r="A9" s="13" t="s">
        <v>568</v>
      </c>
      <c r="B9" s="14">
        <v>0.34100000000000003</v>
      </c>
      <c r="C9" s="14">
        <v>0.08</v>
      </c>
      <c r="D9" s="14">
        <v>-0.34</v>
      </c>
      <c r="E9" s="14">
        <v>1</v>
      </c>
      <c r="F9" s="14">
        <v>0.46899999999999997</v>
      </c>
      <c r="G9" s="14">
        <v>0.11600000000000001</v>
      </c>
      <c r="H9" s="14">
        <v>0.60699999999999998</v>
      </c>
    </row>
    <row r="10" spans="1:8" ht="15" customHeight="1" x14ac:dyDescent="0.25">
      <c r="A10" s="13" t="s">
        <v>569</v>
      </c>
      <c r="B10" s="14">
        <v>-0.115</v>
      </c>
      <c r="C10" s="14">
        <v>8.5999999999999993E-2</v>
      </c>
      <c r="D10" s="14">
        <v>-0.77900000000000003</v>
      </c>
      <c r="E10" s="14">
        <v>0.46899999999999997</v>
      </c>
      <c r="F10" s="14">
        <v>1</v>
      </c>
      <c r="G10" s="14">
        <v>-0.29399999999999998</v>
      </c>
      <c r="H10" s="14">
        <v>-3.1E-2</v>
      </c>
    </row>
    <row r="11" spans="1:8" ht="15" customHeight="1" x14ac:dyDescent="0.25">
      <c r="A11" s="13" t="s">
        <v>570</v>
      </c>
      <c r="B11" s="14">
        <v>0.221</v>
      </c>
      <c r="C11" s="14">
        <v>0.439</v>
      </c>
      <c r="D11" s="14">
        <v>0.45500000000000002</v>
      </c>
      <c r="E11" s="14">
        <v>0.11600000000000001</v>
      </c>
      <c r="F11" s="14">
        <v>-0.29399999999999998</v>
      </c>
      <c r="G11" s="14">
        <v>1</v>
      </c>
      <c r="H11" s="14">
        <v>0.46600000000000003</v>
      </c>
    </row>
    <row r="12" spans="1:8" ht="15" customHeight="1" x14ac:dyDescent="0.25">
      <c r="A12" s="13" t="s">
        <v>571</v>
      </c>
      <c r="B12" s="14">
        <v>0.58599999999999997</v>
      </c>
      <c r="C12" s="14">
        <v>0.41299999999999998</v>
      </c>
      <c r="D12" s="14">
        <v>0.151</v>
      </c>
      <c r="E12" s="14">
        <v>0.60699999999999998</v>
      </c>
      <c r="F12" s="14">
        <v>-3.1E-2</v>
      </c>
      <c r="G12" s="14">
        <v>0.46600000000000003</v>
      </c>
      <c r="H12" s="14">
        <v>1</v>
      </c>
    </row>
    <row r="16" spans="1:8" ht="15" customHeight="1" x14ac:dyDescent="0.25">
      <c r="A16" s="28" t="s">
        <v>572</v>
      </c>
      <c r="B16" s="27"/>
      <c r="C16" s="27"/>
      <c r="D16" s="27"/>
      <c r="E16" s="27"/>
      <c r="F16" s="27"/>
      <c r="G16" s="27"/>
      <c r="H16" s="27"/>
    </row>
    <row r="18" spans="1:6" ht="26.85" customHeight="1" x14ac:dyDescent="0.25">
      <c r="A18" s="12"/>
      <c r="B18" s="1" t="s">
        <v>571</v>
      </c>
      <c r="C18" s="1" t="s">
        <v>573</v>
      </c>
      <c r="D18" s="1" t="s">
        <v>574</v>
      </c>
      <c r="E18" s="1" t="s">
        <v>569</v>
      </c>
      <c r="F18" s="1" t="s">
        <v>575</v>
      </c>
    </row>
    <row r="19" spans="1:6" ht="15" customHeight="1" x14ac:dyDescent="0.25">
      <c r="A19" s="13" t="s">
        <v>571</v>
      </c>
      <c r="B19" s="14">
        <v>1</v>
      </c>
      <c r="C19" s="14">
        <v>0.22600000000000001</v>
      </c>
      <c r="D19" s="14">
        <v>0.20499999999999999</v>
      </c>
      <c r="E19" s="14">
        <v>-0.186</v>
      </c>
      <c r="F19" s="14">
        <v>2.7E-2</v>
      </c>
    </row>
    <row r="20" spans="1:6" ht="15" customHeight="1" x14ac:dyDescent="0.25">
      <c r="A20" s="13" t="s">
        <v>573</v>
      </c>
      <c r="B20" s="14">
        <v>0.22600000000000001</v>
      </c>
      <c r="C20" s="14">
        <v>1</v>
      </c>
      <c r="D20" s="14">
        <v>0.82199999999999995</v>
      </c>
      <c r="E20" s="14">
        <v>2.1000000000000001E-2</v>
      </c>
      <c r="F20" s="14">
        <v>-0.13700000000000001</v>
      </c>
    </row>
    <row r="21" spans="1:6" ht="15" customHeight="1" x14ac:dyDescent="0.25">
      <c r="A21" s="13" t="s">
        <v>574</v>
      </c>
      <c r="B21" s="14">
        <v>0.20499999999999999</v>
      </c>
      <c r="C21" s="14">
        <v>0.82199999999999995</v>
      </c>
      <c r="D21" s="14">
        <v>1</v>
      </c>
      <c r="E21" s="14">
        <v>6.4000000000000001E-2</v>
      </c>
      <c r="F21" s="14">
        <v>-0.13100000000000001</v>
      </c>
    </row>
    <row r="22" spans="1:6" ht="15" customHeight="1" x14ac:dyDescent="0.25">
      <c r="A22" s="13" t="s">
        <v>569</v>
      </c>
      <c r="B22" s="14">
        <v>-0.186</v>
      </c>
      <c r="C22" s="14">
        <v>2.1000000000000001E-2</v>
      </c>
      <c r="D22" s="14">
        <v>6.4000000000000001E-2</v>
      </c>
      <c r="E22" s="14">
        <v>1</v>
      </c>
      <c r="F22" s="14">
        <v>-8.6999999999999994E-2</v>
      </c>
    </row>
    <row r="23" spans="1:6" ht="15" customHeight="1" x14ac:dyDescent="0.25">
      <c r="A23" s="13" t="s">
        <v>575</v>
      </c>
      <c r="B23" s="14">
        <v>2.7E-2</v>
      </c>
      <c r="C23" s="14">
        <v>-0.13700000000000001</v>
      </c>
      <c r="D23" s="14">
        <v>-0.13100000000000001</v>
      </c>
      <c r="E23" s="14">
        <v>-8.6999999999999994E-2</v>
      </c>
      <c r="F23" s="14">
        <v>1</v>
      </c>
    </row>
  </sheetData>
  <mergeCells count="3">
    <mergeCell ref="A3:H3"/>
    <mergeCell ref="A16:H16"/>
    <mergeCell ref="A1:H1"/>
  </mergeCells>
  <conditionalFormatting sqref="B19:F23">
    <cfRule type="colorScale" priority="3">
      <colorScale>
        <cfvo type="num" val="-1"/>
        <cfvo type="num" val="0"/>
        <cfvo type="num" val="1"/>
        <color rgb="FFC1272D"/>
        <color rgb="FFFFFFFF"/>
        <color rgb="FF2E8B8B"/>
      </colorScale>
    </cfRule>
  </conditionalFormatting>
  <conditionalFormatting sqref="B6:H12">
    <cfRule type="colorScale" priority="2">
      <colorScale>
        <cfvo type="num" val="-1"/>
        <cfvo type="num" val="0"/>
        <cfvo type="num" val="1"/>
        <color rgb="FFC1272D"/>
        <color rgb="FFFFFFFF"/>
        <color rgb="FF2E8B8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zoomScaleNormal="100" workbookViewId="0">
      <selection sqref="A1:E1"/>
    </sheetView>
  </sheetViews>
  <sheetFormatPr defaultColWidth="8.7109375" defaultRowHeight="15" x14ac:dyDescent="0.25"/>
  <cols>
    <col min="1" max="1" width="5" customWidth="1"/>
    <col min="2" max="2" width="38" customWidth="1"/>
    <col min="3" max="3" width="32" customWidth="1"/>
    <col min="4" max="4" width="13" customWidth="1"/>
    <col min="5" max="5" width="55" customWidth="1"/>
  </cols>
  <sheetData>
    <row r="1" spans="1:5" ht="17.45" customHeight="1" x14ac:dyDescent="0.25">
      <c r="A1" s="29" t="s">
        <v>576</v>
      </c>
      <c r="B1" s="27"/>
      <c r="C1" s="27"/>
      <c r="D1" s="27"/>
      <c r="E1" s="27"/>
    </row>
    <row r="3" spans="1:5" ht="15" customHeight="1" x14ac:dyDescent="0.25">
      <c r="A3" s="1" t="s">
        <v>577</v>
      </c>
      <c r="B3" s="1" t="s">
        <v>578</v>
      </c>
      <c r="C3" s="1" t="s">
        <v>579</v>
      </c>
      <c r="D3" s="1" t="s">
        <v>580</v>
      </c>
      <c r="E3" s="1" t="s">
        <v>581</v>
      </c>
    </row>
    <row r="4" spans="1:5" ht="36" customHeight="1" x14ac:dyDescent="0.25">
      <c r="A4" s="15" t="s">
        <v>582</v>
      </c>
      <c r="B4" s="16" t="s">
        <v>583</v>
      </c>
      <c r="C4" s="17" t="s">
        <v>584</v>
      </c>
      <c r="D4" s="18">
        <v>0.65</v>
      </c>
      <c r="E4" s="16" t="s">
        <v>585</v>
      </c>
    </row>
    <row r="5" spans="1:5" ht="36" customHeight="1" x14ac:dyDescent="0.25">
      <c r="A5" s="15" t="s">
        <v>586</v>
      </c>
      <c r="B5" s="16" t="s">
        <v>587</v>
      </c>
      <c r="C5" s="17" t="s">
        <v>588</v>
      </c>
      <c r="D5" s="18">
        <v>0.22500000000000001</v>
      </c>
      <c r="E5" s="16" t="s">
        <v>589</v>
      </c>
    </row>
    <row r="6" spans="1:5" ht="36" customHeight="1" x14ac:dyDescent="0.25">
      <c r="A6" s="15" t="s">
        <v>590</v>
      </c>
      <c r="B6" s="16" t="s">
        <v>591</v>
      </c>
      <c r="C6" s="17" t="s">
        <v>592</v>
      </c>
      <c r="D6" s="18">
        <v>-0.29399999999999998</v>
      </c>
      <c r="E6" s="16" t="s">
        <v>593</v>
      </c>
    </row>
    <row r="7" spans="1:5" ht="36" customHeight="1" x14ac:dyDescent="0.25">
      <c r="A7" s="15" t="s">
        <v>594</v>
      </c>
      <c r="B7" s="16" t="s">
        <v>595</v>
      </c>
      <c r="C7" s="17" t="s">
        <v>596</v>
      </c>
      <c r="D7" s="18">
        <v>-0.77900000000000003</v>
      </c>
      <c r="E7" s="16" t="s">
        <v>597</v>
      </c>
    </row>
    <row r="8" spans="1:5" ht="36" customHeight="1" x14ac:dyDescent="0.25">
      <c r="A8" s="15" t="s">
        <v>598</v>
      </c>
      <c r="B8" s="16" t="s">
        <v>599</v>
      </c>
      <c r="C8" s="17" t="s">
        <v>600</v>
      </c>
      <c r="D8" s="18">
        <v>0.36</v>
      </c>
      <c r="E8" s="16" t="s">
        <v>601</v>
      </c>
    </row>
    <row r="9" spans="1:5" ht="36" customHeight="1" x14ac:dyDescent="0.25">
      <c r="A9" s="15" t="s">
        <v>602</v>
      </c>
      <c r="B9" s="16" t="s">
        <v>603</v>
      </c>
      <c r="C9" s="17" t="s">
        <v>604</v>
      </c>
      <c r="D9" s="18">
        <v>-0.186</v>
      </c>
      <c r="E9" s="16" t="s">
        <v>605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zoomScaleNormal="100" workbookViewId="0">
      <selection sqref="A1:H1"/>
    </sheetView>
  </sheetViews>
  <sheetFormatPr defaultColWidth="8.7109375" defaultRowHeight="15" x14ac:dyDescent="0.25"/>
  <cols>
    <col min="1" max="1" width="14" customWidth="1"/>
    <col min="2" max="3" width="11" customWidth="1"/>
    <col min="4" max="4" width="32" customWidth="1"/>
    <col min="5" max="6" width="16" customWidth="1"/>
    <col min="7" max="7" width="13" customWidth="1"/>
    <col min="8" max="8" width="19" customWidth="1"/>
  </cols>
  <sheetData>
    <row r="1" spans="1:8" ht="17.45" customHeight="1" x14ac:dyDescent="0.25">
      <c r="A1" s="29" t="s">
        <v>606</v>
      </c>
      <c r="B1" s="27"/>
      <c r="C1" s="27"/>
      <c r="D1" s="27"/>
      <c r="E1" s="27"/>
      <c r="F1" s="27"/>
      <c r="G1" s="27"/>
      <c r="H1" s="27"/>
    </row>
    <row r="3" spans="1:8" ht="26.85" customHeight="1" x14ac:dyDescent="0.25">
      <c r="A3" s="1" t="s">
        <v>607</v>
      </c>
      <c r="B3" s="1" t="s">
        <v>608</v>
      </c>
      <c r="C3" s="1" t="s">
        <v>609</v>
      </c>
      <c r="D3" s="1" t="s">
        <v>610</v>
      </c>
      <c r="E3" s="1" t="s">
        <v>611</v>
      </c>
      <c r="F3" s="1" t="s">
        <v>612</v>
      </c>
      <c r="G3" s="1" t="s">
        <v>613</v>
      </c>
      <c r="H3" s="1" t="s">
        <v>614</v>
      </c>
    </row>
    <row r="4" spans="1:8" ht="15" customHeight="1" x14ac:dyDescent="0.25">
      <c r="A4" s="19" t="s">
        <v>615</v>
      </c>
      <c r="B4" s="20" t="s">
        <v>616</v>
      </c>
      <c r="C4" s="20" t="s">
        <v>617</v>
      </c>
      <c r="D4" s="21" t="s">
        <v>618</v>
      </c>
      <c r="E4" s="22">
        <v>54.67</v>
      </c>
      <c r="F4" s="22">
        <v>133.47999999999999</v>
      </c>
      <c r="G4" s="23">
        <v>144.19999999999999</v>
      </c>
      <c r="H4" s="24">
        <v>-25.6</v>
      </c>
    </row>
    <row r="5" spans="1:8" ht="15" customHeight="1" x14ac:dyDescent="0.25">
      <c r="A5" s="19" t="s">
        <v>619</v>
      </c>
      <c r="B5" s="20" t="s">
        <v>620</v>
      </c>
      <c r="C5" s="20" t="s">
        <v>621</v>
      </c>
      <c r="D5" s="21" t="s">
        <v>622</v>
      </c>
      <c r="E5" s="22">
        <v>75.55</v>
      </c>
      <c r="F5" s="22">
        <v>110.04</v>
      </c>
      <c r="G5" s="23">
        <v>45.7</v>
      </c>
      <c r="H5" s="24">
        <v>4.0999999999999996</v>
      </c>
    </row>
    <row r="6" spans="1:8" ht="15" customHeight="1" x14ac:dyDescent="0.25">
      <c r="A6" s="19" t="s">
        <v>623</v>
      </c>
      <c r="B6" s="20" t="s">
        <v>624</v>
      </c>
      <c r="C6" s="20" t="s">
        <v>625</v>
      </c>
      <c r="D6" s="21" t="s">
        <v>626</v>
      </c>
      <c r="E6" s="22">
        <v>78.650000000000006</v>
      </c>
      <c r="F6" s="22">
        <v>114.34</v>
      </c>
      <c r="G6" s="23">
        <v>45.4</v>
      </c>
      <c r="H6" s="24">
        <v>11.4</v>
      </c>
    </row>
    <row r="7" spans="1:8" ht="15" customHeight="1" x14ac:dyDescent="0.25">
      <c r="A7" s="19" t="s">
        <v>627</v>
      </c>
      <c r="B7" s="20" t="s">
        <v>628</v>
      </c>
      <c r="C7" s="20" t="s">
        <v>629</v>
      </c>
      <c r="D7" s="21" t="s">
        <v>630</v>
      </c>
      <c r="E7" s="22">
        <v>63.53</v>
      </c>
      <c r="F7" s="22">
        <v>98.06</v>
      </c>
      <c r="G7" s="23">
        <v>54.3</v>
      </c>
      <c r="H7" s="25" t="s">
        <v>631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US_Annual</vt:lpstr>
      <vt:lpstr>Monthly_Markets</vt:lpstr>
      <vt:lpstr>Cross_Country</vt:lpstr>
      <vt:lpstr>Correlations</vt:lpstr>
      <vt:lpstr>Hypothesis_Tests</vt:lpstr>
      <vt:lpstr>Oil_Shock_Episodes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 Lenz</cp:lastModifiedBy>
  <cp:revision>0</cp:revision>
  <dcterms:created xsi:type="dcterms:W3CDTF">2026-05-11T02:08:37Z</dcterms:created>
  <dcterms:modified xsi:type="dcterms:W3CDTF">2026-05-11T04:10:14Z</dcterms:modified>
  <dc:language>en-US</dc:language>
</cp:coreProperties>
</file>